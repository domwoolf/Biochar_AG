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480" yWindow="300" windowWidth="15885" windowHeight="8670" activeTab="6"/>
  </bookViews>
  <sheets>
    <sheet name="constants" sheetId="11" r:id="rId1"/>
    <sheet name="Scenarios" sheetId="14" r:id="rId2"/>
    <sheet name="parameters" sheetId="1" r:id="rId3"/>
    <sheet name="common" sheetId="9" r:id="rId4"/>
    <sheet name="reference" sheetId="8" r:id="rId5"/>
    <sheet name="bes" sheetId="6" r:id="rId6"/>
    <sheet name="beccs" sheetId="7" r:id="rId7"/>
    <sheet name="bebcs" sheetId="3" r:id="rId8"/>
    <sheet name="Results" sheetId="12" r:id="rId9"/>
    <sheet name="Charts" sheetId="13" r:id="rId10"/>
    <sheet name="Notes" sheetId="2" r:id="rId11"/>
    <sheet name="sensitivity" sheetId="15" r:id="rId12"/>
  </sheets>
  <functionGroups builtInGroupCount="17"/>
  <definedNames>
    <definedName name="aglime_price">parameters!$F$12</definedName>
    <definedName name="bc_app_rate">parameters!$F$34</definedName>
    <definedName name="bc_ash">bebcs!$J$28</definedName>
    <definedName name="bc_bd">constants!$D$21</definedName>
    <definedName name="bc_c">bebcs!$B$5</definedName>
    <definedName name="bc_cp">bebcs!$F$21</definedName>
    <definedName name="bc_field_cost">parameters!$F$27</definedName>
    <definedName name="bc_h">bebcs!$B$6</definedName>
    <definedName name="bc_haul_c">parameters!$F$32</definedName>
    <definedName name="bc_haul_cost">parameters!$F$26</definedName>
    <definedName name="bc_hhv">bebcs!$F$34</definedName>
    <definedName name="bc_lab_frac">bebcs!$J$11</definedName>
    <definedName name="bc_max_nutrient_value">bebcs!$I$101</definedName>
    <definedName name="bc_nutrient_value">parameters!$F$35</definedName>
    <definedName name="bc_o">bebcs!$B$7</definedName>
    <definedName name="bc_oc">bebcs!$J$4</definedName>
    <definedName name="bc_price">bebcs!$J$32</definedName>
    <definedName name="bc_revenue">bebcs!$N$16</definedName>
    <definedName name="bc_stab_factor">parameters!$F$37</definedName>
    <definedName name="bc_y">bebcs!$B$4</definedName>
    <definedName name="bc_yield_value">parameters!$F$36</definedName>
    <definedName name="bebcs_cc">parameters!$F$24</definedName>
    <definedName name="bebcs_cc_hi">bebcs!$N$60</definedName>
    <definedName name="bebcs_cc_hi2030">bebcs!$N$63</definedName>
    <definedName name="bebcs_cc_hi2050">bebcs!$N$66</definedName>
    <definedName name="bebcs_cc_hi2100">bebcs!$N$69</definedName>
    <definedName name="bebcs_cc_lo">bebcs!$N$59</definedName>
    <definedName name="bebcs_cc_lo2030">bebcs!$N$62</definedName>
    <definedName name="bebcs_cc_lo2050">bebcs!$N$65</definedName>
    <definedName name="bebcs_cc_lo2100">bebcs!$N$68</definedName>
    <definedName name="bebcs_direct_ghg">bebcs!$J$35</definedName>
    <definedName name="bebcs_life_ratio">parameters!$F$25</definedName>
    <definedName name="bebcs_net_value">bebcs!$N$21</definedName>
    <definedName name="bebcs_oc_nv">bebcs!$N$23</definedName>
    <definedName name="bebcs_soil_feedback">bebcs!$J$34</definedName>
    <definedName name="bebcs_tot_c_abatement">bebcs!$F$54</definedName>
    <definedName name="bebcs_total_cost">bebcs!$N$12</definedName>
    <definedName name="bebcs_total_revenue">bebcs!$N$18</definedName>
    <definedName name="beccs_available">constants!$D$32</definedName>
    <definedName name="beccs_eff_penalty">parameters!$F$39</definedName>
    <definedName name="beccs_elec_prod">beccs!$B$7</definedName>
    <definedName name="beccs_net_value">beccs!$F$19</definedName>
    <definedName name="beccs_oc_nv">beccs!$F$21</definedName>
    <definedName name="beccs_seq_fraction">parameters!$F$40</definedName>
    <definedName name="beccs_tot_c_abatement">beccs!$B$10</definedName>
    <definedName name="bes_annual_cc">bes!$F$7</definedName>
    <definedName name="bes_annuity">bes!$F$6</definedName>
    <definedName name="bes_cc">parameters!$F$18</definedName>
    <definedName name="bes_cc_hi">bes!$N$48</definedName>
    <definedName name="bes_cc_hi_2020">bes!$N$51</definedName>
    <definedName name="bes_cc_hi_2030">bes!$N$54</definedName>
    <definedName name="bes_cc_hi_2050">bes!$N$57</definedName>
    <definedName name="bes_cc_hi_2100">bes!$N$60</definedName>
    <definedName name="bes_cc_lo">bes!$N$47</definedName>
    <definedName name="bes_cc_lo_2020">bes!$N$50</definedName>
    <definedName name="bes_cc_lo_2030">bes!$N$53</definedName>
    <definedName name="bes_cc_lo_2050">bes!$N$56</definedName>
    <definedName name="bes_cc_lo_2100">bes!$N$59</definedName>
    <definedName name="bes_elec_prod">bes!$B$7</definedName>
    <definedName name="bes_energy_efficiency">parameters!$F$20</definedName>
    <definedName name="bes_life">parameters!$F$19</definedName>
    <definedName name="bes_net_value">bes!$F$18</definedName>
    <definedName name="bes_oc_nv">bes!$F$20</definedName>
    <definedName name="bes_tot_c_abatement">bes!$B$10</definedName>
    <definedName name="bm_ash">parameters!$F$10</definedName>
    <definedName name="bm_base">constants!$D$18</definedName>
    <definedName name="bm_bd">bebcs!$F$4</definedName>
    <definedName name="bm_c">constants!$D$12</definedName>
    <definedName name="bm_feed_rate">bebcs!$F$5</definedName>
    <definedName name="bm_h">constants!$D$13</definedName>
    <definedName name="bm_h2o">constants!$D$16</definedName>
    <definedName name="bm_lhv">constants!$D$19</definedName>
    <definedName name="bm_o">constants!$D$14</definedName>
    <definedName name="bo_c">bebcs!$B$11</definedName>
    <definedName name="bo_cp">bebcs!$F$23</definedName>
    <definedName name="bo_h">bebcs!$B$12</definedName>
    <definedName name="bo_hhv">bebcs!$F$35</definedName>
    <definedName name="bo_hvap">bebcs!$F$22</definedName>
    <definedName name="bo_o">bebcs!$B$13</definedName>
    <definedName name="bo_y">bebcs!$B$10</definedName>
    <definedName name="boolean_values">constants!$D$3:$D$4</definedName>
    <definedName name="c_price">parameters!$F$13</definedName>
    <definedName name="capacity_factor">constants!$D$25</definedName>
    <definedName name="ccs_cc">parameters!$F$38</definedName>
    <definedName name="CellHasFormula">GET.CELL(48,INDIRECT("rc",FALSE))</definedName>
    <definedName name="Crk">bebcs!$H$6</definedName>
    <definedName name="crop_price_increase">parameters!$F$11</definedName>
    <definedName name="daf_feed_rate">bebcs!$F$6</definedName>
    <definedName name="discount">parameters!$F$9</definedName>
    <definedName name="dist_codes">constants!$D$27:$D$29</definedName>
    <definedName name="elec_price">parameters!$F$14</definedName>
    <definedName name="ff_c_intensity">parameters!$F$16</definedName>
    <definedName name="ff_c_intensity_hi">reference!$J$35</definedName>
    <definedName name="ff_c_intensity_lo">reference!$I$35</definedName>
    <definedName name="ff_eff">parameters!$F$17</definedName>
    <definedName name="g_c2h4_y">bebcs!$B$23</definedName>
    <definedName name="g_ch4_y">bebcs!$B$22</definedName>
    <definedName name="g_co_y">bebcs!$B$20</definedName>
    <definedName name="g_co2_y">bebcs!$B$21</definedName>
    <definedName name="g_cp">bebcs!$F$25</definedName>
    <definedName name="g_h2_y">bebcs!$B$19</definedName>
    <definedName name="g_h2o_y">bebcs!$B$15</definedName>
    <definedName name="g_hhv">bebcs!$F$36</definedName>
    <definedName name="g_y">bebcs!$B$24</definedName>
    <definedName name="gwp_ch4">constants!$D$10</definedName>
    <definedName name="gwp_n2o">constants!$D$9</definedName>
    <definedName name="lignin">constants!$D$15</definedName>
    <definedName name="monte_n">constants!$D$7</definedName>
    <definedName name="monte_params">Results!XET1048558</definedName>
    <definedName name="monte_results">Results!$A$1</definedName>
    <definedName name="n_app_rate">parameters!$F$28</definedName>
    <definedName name="n2o_factor">parameters!$F$29</definedName>
    <definedName name="n2o_years">parameters!$F$30</definedName>
    <definedName name="O_M_factor">constants!$D$24</definedName>
    <definedName name="params">parameters!$F$9:$F$40</definedName>
    <definedName name="params_max">parameters!$H$9:$H$40</definedName>
    <definedName name="params_mean">parameters!$I$9:$I$40</definedName>
    <definedName name="params_min">parameters!$G$9:$G$40</definedName>
    <definedName name="priming_factor">parameters!$F$31</definedName>
    <definedName name="py_annuity">bebcs!$N$6</definedName>
    <definedName name="py_area">bebcs!$F$15</definedName>
    <definedName name="py_aspect">bebcs!$F$9</definedName>
    <definedName name="py_bc_heat_loss">bebcs!$F$28</definedName>
    <definedName name="py_bo_heat_loss">bebcs!$F$29</definedName>
    <definedName name="py_cc">bebcs!$N$5</definedName>
    <definedName name="py_E_bc">bebcs!$F$39</definedName>
    <definedName name="py_E_bo">bebcs!$F$38</definedName>
    <definedName name="py_E_fuel">bebcs!$F$40</definedName>
    <definedName name="py_E_g">bebcs!$F$37</definedName>
    <definedName name="py_e_source">parameters!$F$22</definedName>
    <definedName name="py_elec_eff">parameters!$F$23</definedName>
    <definedName name="py_elec_prod">bebcs!$F$52</definedName>
    <definedName name="py_ex_t">bebcs!$F$19</definedName>
    <definedName name="py_g_heat_loss">bebcs!$F$30</definedName>
    <definedName name="py_gas_heat_loss">bebcs!$F$30</definedName>
    <definedName name="py_h_eff">bebcs!$F$43</definedName>
    <definedName name="py_h_fuel_required">bebcs!$F$44</definedName>
    <definedName name="py_h_required">bebcs!$F$42</definedName>
    <definedName name="py_h2o_heat_loss">bebcs!$F$31</definedName>
    <definedName name="py_heat_loss">bebcs!$F$32</definedName>
    <definedName name="py_heat_loss_rate">bebcs!$F$17</definedName>
    <definedName name="py_insul">bebcs!$F$12</definedName>
    <definedName name="py_len">bebcs!$F$14</definedName>
    <definedName name="py_life">bebcs!$N$7</definedName>
    <definedName name="py_net_bc">bebcs!$F$50</definedName>
    <definedName name="py_net_fuel">bebcs!$F$49</definedName>
    <definedName name="py_rad">bebcs!$F$10</definedName>
    <definedName name="py_res_t">bebcs!$F$7</definedName>
    <definedName name="py_temp">parameters!$F$21</definedName>
    <definedName name="py_therm_cond">bebcs!$F$13</definedName>
    <definedName name="py_tot_fuel_required">bebcs!$F$47</definedName>
    <definedName name="py_tot_h2o">bebcs!$B$17</definedName>
    <definedName name="py_vol">bebcs!$F$8</definedName>
    <definedName name="py_wall">bebcs!$F$11</definedName>
    <definedName name="py_wall_heat_loss">bebcs!$F$17</definedName>
    <definedName name="py_wall_temp">bebcs!$F$16</definedName>
    <definedName name="rebound">parameters!$F$15</definedName>
    <definedName name="SavePath">constants!$D$1</definedName>
    <definedName name="scenario">parameters!$G$8</definedName>
    <definedName name="scenario_data">parameters!$G$8:$L$40</definedName>
    <definedName name="scenario_N">parameters!$B$2</definedName>
    <definedName name="soc">parameters!$F$33</definedName>
    <definedName name="soil_depth">constants!$D$22</definedName>
    <definedName name="time_frame">constants!$D$6</definedName>
    <definedName name="Uc">bebcs!$B$26</definedName>
    <definedName name="Uh">bebcs!$B$27</definedName>
    <definedName name="Uo">bebcs!$B$28</definedName>
  </definedNames>
  <calcPr calcId="145621"/>
</workbook>
</file>

<file path=xl/calcChain.xml><?xml version="1.0" encoding="utf-8"?>
<calcChain xmlns="http://schemas.openxmlformats.org/spreadsheetml/2006/main">
  <c r="J34" i="8" l="1"/>
  <c r="AB7" i="14"/>
  <c r="AA7" i="14"/>
  <c r="AI7" i="14"/>
  <c r="AH7" i="14"/>
  <c r="U7" i="14"/>
  <c r="U32" i="14"/>
  <c r="AB32" i="14" s="1"/>
  <c r="AI32" i="14" s="1"/>
  <c r="T32" i="14"/>
  <c r="AA32" i="14" s="1"/>
  <c r="AH32" i="14" s="1"/>
  <c r="F8" i="7" l="1"/>
  <c r="N54" i="6" l="1"/>
  <c r="AJ7" i="14"/>
  <c r="AC7" i="14"/>
  <c r="V7" i="14"/>
  <c r="I9" i="7" l="1"/>
  <c r="AP32" i="14"/>
  <c r="AO32" i="14"/>
  <c r="B4" i="7" l="1"/>
  <c r="B5" i="7"/>
  <c r="AI36" i="14"/>
  <c r="AH36" i="14"/>
  <c r="U35" i="14"/>
  <c r="T35" i="14"/>
  <c r="K59" i="7"/>
  <c r="J59" i="7"/>
  <c r="I59" i="7"/>
  <c r="H59" i="7"/>
  <c r="AI35" i="14"/>
  <c r="AB35" i="14" s="1"/>
  <c r="AH35" i="14"/>
  <c r="AA35" i="14" s="1"/>
  <c r="N34" i="14"/>
  <c r="M34" i="14"/>
  <c r="T34" i="14" s="1"/>
  <c r="AH34" i="14" l="1"/>
  <c r="U34" i="14"/>
  <c r="U36" i="14"/>
  <c r="AB36" i="14"/>
  <c r="AJ36" i="14"/>
  <c r="T36" i="14"/>
  <c r="AA36" i="14"/>
  <c r="AC36" i="14" l="1"/>
  <c r="G77" i="7" l="1"/>
  <c r="F77" i="7"/>
  <c r="G76" i="7"/>
  <c r="F76" i="7"/>
  <c r="G72" i="7"/>
  <c r="F72" i="7"/>
  <c r="G61" i="7"/>
  <c r="F61" i="7"/>
  <c r="G60" i="7"/>
  <c r="F60" i="7"/>
  <c r="G67" i="7"/>
  <c r="F67" i="7"/>
  <c r="G59" i="7"/>
  <c r="F59" i="7"/>
  <c r="AI34" i="14" l="1"/>
  <c r="AB34" i="14" s="1"/>
  <c r="G34" i="14" s="1"/>
  <c r="N36" i="1"/>
  <c r="J25" i="3"/>
  <c r="AM31" i="14" l="1"/>
  <c r="AF31" i="14"/>
  <c r="Y31" i="14"/>
  <c r="G99" i="3"/>
  <c r="G101" i="3" s="1"/>
  <c r="H99" i="3"/>
  <c r="F99" i="3"/>
  <c r="H94" i="3"/>
  <c r="H93" i="3"/>
  <c r="F94" i="3"/>
  <c r="F93" i="3"/>
  <c r="F101" i="3" l="1"/>
  <c r="H101" i="3"/>
  <c r="O96" i="3"/>
  <c r="O97" i="3" s="1"/>
  <c r="Y23" i="14"/>
  <c r="AT23" i="14" s="1"/>
  <c r="BO23" i="14" s="1"/>
  <c r="R23" i="14"/>
  <c r="K23" i="14"/>
  <c r="AF23" i="14"/>
  <c r="BA23" i="14" s="1"/>
  <c r="BV23" i="14" s="1"/>
  <c r="AM23" i="14"/>
  <c r="AR23" i="14"/>
  <c r="BM23" i="14" s="1"/>
  <c r="AS23" i="14"/>
  <c r="BN23" i="14" s="1"/>
  <c r="AU23" i="14"/>
  <c r="BP23" i="14" s="1"/>
  <c r="AY23" i="14"/>
  <c r="BT23" i="14" s="1"/>
  <c r="AZ23" i="14"/>
  <c r="BU23" i="14" s="1"/>
  <c r="BB23" i="14"/>
  <c r="BF23" i="14"/>
  <c r="CA23" i="14" s="1"/>
  <c r="BG23" i="14"/>
  <c r="CB23" i="14" s="1"/>
  <c r="BH23" i="14"/>
  <c r="CC23" i="14" s="1"/>
  <c r="BI23" i="14"/>
  <c r="BW23" i="14"/>
  <c r="CD23" i="14"/>
  <c r="O23" i="14"/>
  <c r="I101" i="3" l="1"/>
  <c r="F5" i="14"/>
  <c r="F6" i="14"/>
  <c r="F8" i="14"/>
  <c r="F9" i="14"/>
  <c r="F11" i="14"/>
  <c r="F13" i="14"/>
  <c r="F15" i="14"/>
  <c r="F16" i="14"/>
  <c r="F17" i="14"/>
  <c r="F18" i="14"/>
  <c r="F21" i="14"/>
  <c r="F24" i="14"/>
  <c r="F27" i="14"/>
  <c r="F29" i="14"/>
  <c r="F30" i="14"/>
  <c r="F31" i="14"/>
  <c r="F35" i="14"/>
  <c r="F36" i="14"/>
  <c r="B25" i="6"/>
  <c r="B24" i="6"/>
  <c r="AR12" i="14"/>
  <c r="AS12" i="14"/>
  <c r="AY12" i="14"/>
  <c r="AZ12" i="14"/>
  <c r="AM12" i="14"/>
  <c r="AF12" i="14"/>
  <c r="BA12" i="14" s="1"/>
  <c r="Y12" i="14"/>
  <c r="AT12" i="14" s="1"/>
  <c r="R12" i="14"/>
  <c r="K12" i="14"/>
  <c r="J31" i="8"/>
  <c r="J32" i="8" s="1"/>
  <c r="J33" i="8" s="1"/>
  <c r="J35" i="8" s="1"/>
  <c r="G12" i="14" s="1"/>
  <c r="I31" i="8"/>
  <c r="I32" i="8" s="1"/>
  <c r="I33" i="8" s="1"/>
  <c r="I34" i="8" s="1"/>
  <c r="I35" i="8" s="1"/>
  <c r="F12" i="14" s="1"/>
  <c r="AI31" i="14" l="1"/>
  <c r="AJ31" i="14" s="1"/>
  <c r="AB31" i="14"/>
  <c r="AC31" i="14" s="1"/>
  <c r="U31" i="14"/>
  <c r="V31" i="14" s="1"/>
  <c r="N31" i="14"/>
  <c r="H12" i="14"/>
  <c r="AB12" i="14"/>
  <c r="AW12" i="14" s="1"/>
  <c r="T43" i="14"/>
  <c r="AA12" i="14"/>
  <c r="M12" i="14"/>
  <c r="AA43" i="14"/>
  <c r="N12" i="14"/>
  <c r="AH12" i="14"/>
  <c r="U43" i="14"/>
  <c r="AB43" i="14"/>
  <c r="F43" i="14"/>
  <c r="AH43" i="14"/>
  <c r="AI12" i="14"/>
  <c r="G43" i="14"/>
  <c r="AI43" i="14"/>
  <c r="T12" i="14"/>
  <c r="M43" i="14"/>
  <c r="U12" i="14"/>
  <c r="AP12" i="14" s="1"/>
  <c r="N43" i="14"/>
  <c r="AM33" i="14"/>
  <c r="AF33" i="14"/>
  <c r="Y33" i="14"/>
  <c r="R33" i="14"/>
  <c r="O22" i="14"/>
  <c r="G6" i="14"/>
  <c r="AJ6" i="14"/>
  <c r="AC6" i="14"/>
  <c r="AX6" i="14" s="1"/>
  <c r="BS6" i="14" s="1"/>
  <c r="V6" i="14"/>
  <c r="AQ6" i="14" s="1"/>
  <c r="BL6" i="14" s="1"/>
  <c r="O6" i="14"/>
  <c r="N57" i="3"/>
  <c r="N54" i="3"/>
  <c r="BZ9" i="14"/>
  <c r="BS9" i="14"/>
  <c r="BL9" i="14"/>
  <c r="BE9" i="14"/>
  <c r="AX9" i="14"/>
  <c r="AQ9" i="14"/>
  <c r="AP5" i="14"/>
  <c r="BK5" i="14" s="1"/>
  <c r="AQ5" i="14"/>
  <c r="BL5" i="14" s="1"/>
  <c r="AR5" i="14"/>
  <c r="BM5" i="14" s="1"/>
  <c r="AS5" i="14"/>
  <c r="AU5" i="14"/>
  <c r="BP5" i="14" s="1"/>
  <c r="AV5" i="14"/>
  <c r="BQ5" i="14" s="1"/>
  <c r="AW5" i="14"/>
  <c r="BR5" i="14" s="1"/>
  <c r="AX5" i="14"/>
  <c r="BS5" i="14" s="1"/>
  <c r="AY5" i="14"/>
  <c r="BT5" i="14" s="1"/>
  <c r="AZ5" i="14"/>
  <c r="BU5" i="14" s="1"/>
  <c r="BB5" i="14"/>
  <c r="BW5" i="14" s="1"/>
  <c r="BC5" i="14"/>
  <c r="BX5" i="14" s="1"/>
  <c r="BD5" i="14"/>
  <c r="BY5" i="14" s="1"/>
  <c r="BE5" i="14"/>
  <c r="BZ5" i="14" s="1"/>
  <c r="BF5" i="14"/>
  <c r="CA5" i="14" s="1"/>
  <c r="BG5" i="14"/>
  <c r="CB5" i="14" s="1"/>
  <c r="BI5" i="14"/>
  <c r="CD5" i="14" s="1"/>
  <c r="BN5" i="14"/>
  <c r="AP6" i="14"/>
  <c r="BK6" i="14" s="1"/>
  <c r="AR6" i="14"/>
  <c r="BM6" i="14" s="1"/>
  <c r="AS6" i="14"/>
  <c r="BN6" i="14" s="1"/>
  <c r="AU6" i="14"/>
  <c r="BP6" i="14" s="1"/>
  <c r="AV6" i="14"/>
  <c r="BQ6" i="14" s="1"/>
  <c r="AW6" i="14"/>
  <c r="BR6" i="14" s="1"/>
  <c r="AY6" i="14"/>
  <c r="BT6" i="14" s="1"/>
  <c r="AZ6" i="14"/>
  <c r="BB6" i="14"/>
  <c r="BW6" i="14" s="1"/>
  <c r="BC6" i="14"/>
  <c r="BX6" i="14" s="1"/>
  <c r="BD6" i="14"/>
  <c r="BY6" i="14" s="1"/>
  <c r="BE6" i="14"/>
  <c r="BZ6" i="14" s="1"/>
  <c r="BF6" i="14"/>
  <c r="CA6" i="14" s="1"/>
  <c r="BG6" i="14"/>
  <c r="CB6" i="14" s="1"/>
  <c r="BI6" i="14"/>
  <c r="CD6" i="14" s="1"/>
  <c r="BU6" i="14"/>
  <c r="AR7" i="14"/>
  <c r="BM7" i="14" s="1"/>
  <c r="AS7" i="14"/>
  <c r="BN7" i="14" s="1"/>
  <c r="AU7" i="14"/>
  <c r="BP7" i="14" s="1"/>
  <c r="AY7" i="14"/>
  <c r="BT7" i="14" s="1"/>
  <c r="AZ7" i="14"/>
  <c r="BU7" i="14" s="1"/>
  <c r="BB7" i="14"/>
  <c r="BW7" i="14" s="1"/>
  <c r="BF7" i="14"/>
  <c r="CA7" i="14" s="1"/>
  <c r="BG7" i="14"/>
  <c r="CB7" i="14" s="1"/>
  <c r="BI7" i="14"/>
  <c r="CD7" i="14" s="1"/>
  <c r="AP8" i="14"/>
  <c r="BK8" i="14" s="1"/>
  <c r="AR8" i="14"/>
  <c r="BM8" i="14" s="1"/>
  <c r="AS8" i="14"/>
  <c r="BN8" i="14" s="1"/>
  <c r="AU8" i="14"/>
  <c r="BP8" i="14" s="1"/>
  <c r="AV8" i="14"/>
  <c r="BQ8" i="14" s="1"/>
  <c r="AW8" i="14"/>
  <c r="BR8" i="14" s="1"/>
  <c r="AY8" i="14"/>
  <c r="BT8" i="14" s="1"/>
  <c r="AZ8" i="14"/>
  <c r="BU8" i="14" s="1"/>
  <c r="BB8" i="14"/>
  <c r="BW8" i="14" s="1"/>
  <c r="BC8" i="14"/>
  <c r="BX8" i="14" s="1"/>
  <c r="BD8" i="14"/>
  <c r="BY8" i="14" s="1"/>
  <c r="BF8" i="14"/>
  <c r="CA8" i="14" s="1"/>
  <c r="BG8" i="14"/>
  <c r="CB8" i="14" s="1"/>
  <c r="BI8" i="14"/>
  <c r="CD8" i="14" s="1"/>
  <c r="BF9" i="14"/>
  <c r="CA9" i="14" s="1"/>
  <c r="BG9" i="14"/>
  <c r="CB9" i="14" s="1"/>
  <c r="BI9" i="14"/>
  <c r="CD9" i="14" s="1"/>
  <c r="AR10" i="14"/>
  <c r="BM10" i="14" s="1"/>
  <c r="AS10" i="14"/>
  <c r="BN10" i="14" s="1"/>
  <c r="AU10" i="14"/>
  <c r="BP10" i="14" s="1"/>
  <c r="AY10" i="14"/>
  <c r="AZ10" i="14"/>
  <c r="BU10" i="14" s="1"/>
  <c r="BB10" i="14"/>
  <c r="BW10" i="14" s="1"/>
  <c r="BF10" i="14"/>
  <c r="CA10" i="14" s="1"/>
  <c r="BG10" i="14"/>
  <c r="CB10" i="14" s="1"/>
  <c r="BI10" i="14"/>
  <c r="CD10" i="14" s="1"/>
  <c r="BT10" i="14"/>
  <c r="AP11" i="14"/>
  <c r="BK11" i="14" s="1"/>
  <c r="AR11" i="14"/>
  <c r="BM11" i="14" s="1"/>
  <c r="AS11" i="14"/>
  <c r="BN11" i="14" s="1"/>
  <c r="AU11" i="14"/>
  <c r="BP11" i="14" s="1"/>
  <c r="AV11" i="14"/>
  <c r="BQ11" i="14" s="1"/>
  <c r="AW11" i="14"/>
  <c r="BR11" i="14" s="1"/>
  <c r="AY11" i="14"/>
  <c r="BT11" i="14" s="1"/>
  <c r="AZ11" i="14"/>
  <c r="BU11" i="14" s="1"/>
  <c r="BB11" i="14"/>
  <c r="BW11" i="14" s="1"/>
  <c r="BC11" i="14"/>
  <c r="BD11" i="14"/>
  <c r="BY11" i="14" s="1"/>
  <c r="BF11" i="14"/>
  <c r="CA11" i="14" s="1"/>
  <c r="BG11" i="14"/>
  <c r="CB11" i="14" s="1"/>
  <c r="BI11" i="14"/>
  <c r="CD11" i="14" s="1"/>
  <c r="BX11" i="14"/>
  <c r="AU12" i="14"/>
  <c r="BP12" i="14" s="1"/>
  <c r="BB12" i="14"/>
  <c r="BW12" i="14" s="1"/>
  <c r="BI12" i="14"/>
  <c r="CD12" i="14"/>
  <c r="AP13" i="14"/>
  <c r="BK13" i="14" s="1"/>
  <c r="AR13" i="14"/>
  <c r="BM13" i="14" s="1"/>
  <c r="AS13" i="14"/>
  <c r="BN13" i="14" s="1"/>
  <c r="AU13" i="14"/>
  <c r="BP13" i="14" s="1"/>
  <c r="AV13" i="14"/>
  <c r="BQ13" i="14" s="1"/>
  <c r="AW13" i="14"/>
  <c r="BR13" i="14" s="1"/>
  <c r="AY13" i="14"/>
  <c r="AZ13" i="14"/>
  <c r="BU13" i="14" s="1"/>
  <c r="BB13" i="14"/>
  <c r="BW13" i="14" s="1"/>
  <c r="BC13" i="14"/>
  <c r="BX13" i="14" s="1"/>
  <c r="BD13" i="14"/>
  <c r="BY13" i="14" s="1"/>
  <c r="BF13" i="14"/>
  <c r="CA13" i="14" s="1"/>
  <c r="BG13" i="14"/>
  <c r="CB13" i="14" s="1"/>
  <c r="BI13" i="14"/>
  <c r="CD13" i="14" s="1"/>
  <c r="BT13" i="14"/>
  <c r="AR14" i="14"/>
  <c r="BM14" i="14" s="1"/>
  <c r="AS14" i="14"/>
  <c r="BN14" i="14" s="1"/>
  <c r="AU14" i="14"/>
  <c r="BP14" i="14" s="1"/>
  <c r="AY14" i="14"/>
  <c r="BT14" i="14" s="1"/>
  <c r="AZ14" i="14"/>
  <c r="BU14" i="14" s="1"/>
  <c r="BB14" i="14"/>
  <c r="BW14" i="14" s="1"/>
  <c r="BF14" i="14"/>
  <c r="CA14" i="14" s="1"/>
  <c r="BG14" i="14"/>
  <c r="BI14" i="14"/>
  <c r="CD14" i="14" s="1"/>
  <c r="CB14" i="14"/>
  <c r="AP15" i="14"/>
  <c r="BK15" i="14" s="1"/>
  <c r="AR15" i="14"/>
  <c r="BM15" i="14" s="1"/>
  <c r="AS15" i="14"/>
  <c r="BN15" i="14" s="1"/>
  <c r="AU15" i="14"/>
  <c r="BP15" i="14" s="1"/>
  <c r="AV15" i="14"/>
  <c r="BQ15" i="14" s="1"/>
  <c r="AW15" i="14"/>
  <c r="BR15" i="14" s="1"/>
  <c r="AY15" i="14"/>
  <c r="BT15" i="14" s="1"/>
  <c r="AZ15" i="14"/>
  <c r="BU15" i="14" s="1"/>
  <c r="BB15" i="14"/>
  <c r="BW15" i="14" s="1"/>
  <c r="BC15" i="14"/>
  <c r="BX15" i="14" s="1"/>
  <c r="BD15" i="14"/>
  <c r="BY15" i="14" s="1"/>
  <c r="BF15" i="14"/>
  <c r="CA15" i="14" s="1"/>
  <c r="BG15" i="14"/>
  <c r="CB15" i="14" s="1"/>
  <c r="BI15" i="14"/>
  <c r="CD15" i="14" s="1"/>
  <c r="AP16" i="14"/>
  <c r="BK16" i="14" s="1"/>
  <c r="AR16" i="14"/>
  <c r="BM16" i="14" s="1"/>
  <c r="AS16" i="14"/>
  <c r="BN16" i="14" s="1"/>
  <c r="AU16" i="14"/>
  <c r="BP16" i="14" s="1"/>
  <c r="AV16" i="14"/>
  <c r="BQ16" i="14" s="1"/>
  <c r="AW16" i="14"/>
  <c r="BR16" i="14" s="1"/>
  <c r="AY16" i="14"/>
  <c r="BT16" i="14" s="1"/>
  <c r="AZ16" i="14"/>
  <c r="BU16" i="14" s="1"/>
  <c r="BB16" i="14"/>
  <c r="BW16" i="14" s="1"/>
  <c r="BC16" i="14"/>
  <c r="BX16" i="14" s="1"/>
  <c r="BD16" i="14"/>
  <c r="BY16" i="14" s="1"/>
  <c r="BF16" i="14"/>
  <c r="CA16" i="14" s="1"/>
  <c r="BG16" i="14"/>
  <c r="CB16" i="14" s="1"/>
  <c r="BI16" i="14"/>
  <c r="CD16" i="14" s="1"/>
  <c r="AP17" i="14"/>
  <c r="BK17" i="14" s="1"/>
  <c r="AQ17" i="14"/>
  <c r="AR17" i="14"/>
  <c r="BM17" i="14" s="1"/>
  <c r="AS17" i="14"/>
  <c r="BN17" i="14" s="1"/>
  <c r="AU17" i="14"/>
  <c r="AV17" i="14"/>
  <c r="BQ17" i="14" s="1"/>
  <c r="AW17" i="14"/>
  <c r="BR17" i="14" s="1"/>
  <c r="AX17" i="14"/>
  <c r="BS17" i="14" s="1"/>
  <c r="AY17" i="14"/>
  <c r="BT17" i="14" s="1"/>
  <c r="AZ17" i="14"/>
  <c r="BB17" i="14"/>
  <c r="BW17" i="14" s="1"/>
  <c r="BC17" i="14"/>
  <c r="BX17" i="14" s="1"/>
  <c r="BD17" i="14"/>
  <c r="BY17" i="14" s="1"/>
  <c r="BE17" i="14"/>
  <c r="BZ17" i="14" s="1"/>
  <c r="BF17" i="14"/>
  <c r="CA17" i="14" s="1"/>
  <c r="BG17" i="14"/>
  <c r="BI17" i="14"/>
  <c r="CD17" i="14" s="1"/>
  <c r="BL17" i="14"/>
  <c r="BP17" i="14"/>
  <c r="BU17" i="14"/>
  <c r="CB17" i="14"/>
  <c r="AP18" i="14"/>
  <c r="BK18" i="14" s="1"/>
  <c r="AQ18" i="14"/>
  <c r="BL18" i="14" s="1"/>
  <c r="AR18" i="14"/>
  <c r="BM18" i="14" s="1"/>
  <c r="AS18" i="14"/>
  <c r="BN18" i="14" s="1"/>
  <c r="AU18" i="14"/>
  <c r="BP18" i="14" s="1"/>
  <c r="AV18" i="14"/>
  <c r="BQ18" i="14" s="1"/>
  <c r="AW18" i="14"/>
  <c r="BR18" i="14" s="1"/>
  <c r="AX18" i="14"/>
  <c r="BS18" i="14" s="1"/>
  <c r="AY18" i="14"/>
  <c r="BT18" i="14" s="1"/>
  <c r="AZ18" i="14"/>
  <c r="BU18" i="14" s="1"/>
  <c r="BB18" i="14"/>
  <c r="BW18" i="14" s="1"/>
  <c r="BC18" i="14"/>
  <c r="BX18" i="14" s="1"/>
  <c r="BD18" i="14"/>
  <c r="BY18" i="14" s="1"/>
  <c r="BE18" i="14"/>
  <c r="BZ18" i="14" s="1"/>
  <c r="BF18" i="14"/>
  <c r="CA18" i="14" s="1"/>
  <c r="BG18" i="14"/>
  <c r="CB18" i="14" s="1"/>
  <c r="BI18" i="14"/>
  <c r="CD18" i="14" s="1"/>
  <c r="AQ19" i="14"/>
  <c r="BL19" i="14" s="1"/>
  <c r="AR19" i="14"/>
  <c r="BM19" i="14" s="1"/>
  <c r="AS19" i="14"/>
  <c r="BN19" i="14" s="1"/>
  <c r="AU19" i="14"/>
  <c r="BP19" i="14" s="1"/>
  <c r="AX19" i="14"/>
  <c r="AY19" i="14"/>
  <c r="BT19" i="14" s="1"/>
  <c r="AZ19" i="14"/>
  <c r="BU19" i="14" s="1"/>
  <c r="BB19" i="14"/>
  <c r="BW19" i="14" s="1"/>
  <c r="BE19" i="14"/>
  <c r="BZ19" i="14" s="1"/>
  <c r="BF19" i="14"/>
  <c r="CA19" i="14" s="1"/>
  <c r="BG19" i="14"/>
  <c r="CB19" i="14" s="1"/>
  <c r="BI19" i="14"/>
  <c r="CD19" i="14" s="1"/>
  <c r="BS19" i="14"/>
  <c r="AR20" i="14"/>
  <c r="BM20" i="14" s="1"/>
  <c r="AS20" i="14"/>
  <c r="BN20" i="14" s="1"/>
  <c r="AU20" i="14"/>
  <c r="BP20" i="14" s="1"/>
  <c r="AY20" i="14"/>
  <c r="BT20" i="14" s="1"/>
  <c r="AZ20" i="14"/>
  <c r="BB20" i="14"/>
  <c r="BW20" i="14" s="1"/>
  <c r="BF20" i="14"/>
  <c r="CA20" i="14" s="1"/>
  <c r="BG20" i="14"/>
  <c r="CB20" i="14" s="1"/>
  <c r="BI20" i="14"/>
  <c r="CD20" i="14" s="1"/>
  <c r="BU20" i="14"/>
  <c r="AP21" i="14"/>
  <c r="BK21" i="14" s="1"/>
  <c r="AQ21" i="14"/>
  <c r="BL21" i="14" s="1"/>
  <c r="AR21" i="14"/>
  <c r="AS21" i="14"/>
  <c r="BN21" i="14" s="1"/>
  <c r="AU21" i="14"/>
  <c r="BP21" i="14" s="1"/>
  <c r="AV21" i="14"/>
  <c r="BQ21" i="14" s="1"/>
  <c r="AW21" i="14"/>
  <c r="BR21" i="14" s="1"/>
  <c r="AX21" i="14"/>
  <c r="BS21" i="14" s="1"/>
  <c r="AY21" i="14"/>
  <c r="BT21" i="14" s="1"/>
  <c r="AZ21" i="14"/>
  <c r="BB21" i="14"/>
  <c r="BC21" i="14"/>
  <c r="BX21" i="14" s="1"/>
  <c r="BD21" i="14"/>
  <c r="BY21" i="14" s="1"/>
  <c r="BE21" i="14"/>
  <c r="BZ21" i="14" s="1"/>
  <c r="BF21" i="14"/>
  <c r="CA21" i="14" s="1"/>
  <c r="BG21" i="14"/>
  <c r="CB21" i="14" s="1"/>
  <c r="BI21" i="14"/>
  <c r="CD21" i="14" s="1"/>
  <c r="BM21" i="14"/>
  <c r="BU21" i="14"/>
  <c r="BW21" i="14"/>
  <c r="AR22" i="14"/>
  <c r="BM22" i="14" s="1"/>
  <c r="AS22" i="14"/>
  <c r="AU22" i="14"/>
  <c r="AY22" i="14"/>
  <c r="BT22" i="14" s="1"/>
  <c r="AZ22" i="14"/>
  <c r="BU22" i="14" s="1"/>
  <c r="BB22" i="14"/>
  <c r="BW22" i="14" s="1"/>
  <c r="BF22" i="14"/>
  <c r="CA22" i="14" s="1"/>
  <c r="BG22" i="14"/>
  <c r="BI22" i="14"/>
  <c r="CD22" i="14" s="1"/>
  <c r="BN22" i="14"/>
  <c r="BP22" i="14"/>
  <c r="CB22" i="14"/>
  <c r="AP24" i="14"/>
  <c r="BK24" i="14" s="1"/>
  <c r="AQ24" i="14"/>
  <c r="BL24" i="14" s="1"/>
  <c r="AR24" i="14"/>
  <c r="BM24" i="14" s="1"/>
  <c r="AS24" i="14"/>
  <c r="BN24" i="14" s="1"/>
  <c r="AU24" i="14"/>
  <c r="BP24" i="14" s="1"/>
  <c r="AV24" i="14"/>
  <c r="BQ24" i="14" s="1"/>
  <c r="AW24" i="14"/>
  <c r="AX24" i="14"/>
  <c r="BS24" i="14" s="1"/>
  <c r="AY24" i="14"/>
  <c r="BT24" i="14" s="1"/>
  <c r="AZ24" i="14"/>
  <c r="BU24" i="14" s="1"/>
  <c r="BB24" i="14"/>
  <c r="BW24" i="14" s="1"/>
  <c r="BC24" i="14"/>
  <c r="BX24" i="14" s="1"/>
  <c r="BD24" i="14"/>
  <c r="BY24" i="14" s="1"/>
  <c r="BE24" i="14"/>
  <c r="BZ24" i="14" s="1"/>
  <c r="BF24" i="14"/>
  <c r="CA24" i="14" s="1"/>
  <c r="BG24" i="14"/>
  <c r="CB24" i="14" s="1"/>
  <c r="BI24" i="14"/>
  <c r="CD24" i="14" s="1"/>
  <c r="BR24" i="14"/>
  <c r="AR25" i="14"/>
  <c r="BM25" i="14" s="1"/>
  <c r="AS25" i="14"/>
  <c r="BN25" i="14" s="1"/>
  <c r="AU25" i="14"/>
  <c r="BP25" i="14" s="1"/>
  <c r="AY25" i="14"/>
  <c r="BT25" i="14" s="1"/>
  <c r="AZ25" i="14"/>
  <c r="BB25" i="14"/>
  <c r="BW25" i="14" s="1"/>
  <c r="BF25" i="14"/>
  <c r="CA25" i="14" s="1"/>
  <c r="BG25" i="14"/>
  <c r="CB25" i="14" s="1"/>
  <c r="BI25" i="14"/>
  <c r="CD25" i="14" s="1"/>
  <c r="BU25" i="14"/>
  <c r="AP26" i="14"/>
  <c r="BK26" i="14" s="1"/>
  <c r="AR26" i="14"/>
  <c r="AS26" i="14"/>
  <c r="BN26" i="14" s="1"/>
  <c r="AU26" i="14"/>
  <c r="BP26" i="14" s="1"/>
  <c r="AV26" i="14"/>
  <c r="AW26" i="14"/>
  <c r="BR26" i="14" s="1"/>
  <c r="AY26" i="14"/>
  <c r="BT26" i="14" s="1"/>
  <c r="AZ26" i="14"/>
  <c r="BB26" i="14"/>
  <c r="BW26" i="14" s="1"/>
  <c r="BC26" i="14"/>
  <c r="BX26" i="14" s="1"/>
  <c r="BD26" i="14"/>
  <c r="BF26" i="14"/>
  <c r="CA26" i="14" s="1"/>
  <c r="BG26" i="14"/>
  <c r="CB26" i="14" s="1"/>
  <c r="BI26" i="14"/>
  <c r="CD26" i="14" s="1"/>
  <c r="BM26" i="14"/>
  <c r="BQ26" i="14"/>
  <c r="BU26" i="14"/>
  <c r="BY26" i="14"/>
  <c r="AP27" i="14"/>
  <c r="BK27" i="14" s="1"/>
  <c r="AR27" i="14"/>
  <c r="BM27" i="14" s="1"/>
  <c r="AS27" i="14"/>
  <c r="BN27" i="14" s="1"/>
  <c r="AU27" i="14"/>
  <c r="BP27" i="14" s="1"/>
  <c r="AV27" i="14"/>
  <c r="BQ27" i="14" s="1"/>
  <c r="AW27" i="14"/>
  <c r="BR27" i="14" s="1"/>
  <c r="AY27" i="14"/>
  <c r="AZ27" i="14"/>
  <c r="BU27" i="14" s="1"/>
  <c r="BB27" i="14"/>
  <c r="BW27" i="14" s="1"/>
  <c r="BC27" i="14"/>
  <c r="BX27" i="14" s="1"/>
  <c r="BD27" i="14"/>
  <c r="BY27" i="14" s="1"/>
  <c r="BF27" i="14"/>
  <c r="CA27" i="14" s="1"/>
  <c r="BG27" i="14"/>
  <c r="CB27" i="14" s="1"/>
  <c r="BI27" i="14"/>
  <c r="CD27" i="14" s="1"/>
  <c r="BT27" i="14"/>
  <c r="AR28" i="14"/>
  <c r="BM28" i="14" s="1"/>
  <c r="AS28" i="14"/>
  <c r="BN28" i="14" s="1"/>
  <c r="AT28" i="14"/>
  <c r="BO28" i="14" s="1"/>
  <c r="AU28" i="14"/>
  <c r="BP28" i="14" s="1"/>
  <c r="AY28" i="14"/>
  <c r="BT28" i="14" s="1"/>
  <c r="AZ28" i="14"/>
  <c r="BU28" i="14" s="1"/>
  <c r="BA28" i="14"/>
  <c r="BB28" i="14"/>
  <c r="BW28" i="14" s="1"/>
  <c r="BF28" i="14"/>
  <c r="CA28" i="14" s="1"/>
  <c r="BG28" i="14"/>
  <c r="CB28" i="14" s="1"/>
  <c r="BH28" i="14"/>
  <c r="CC28" i="14" s="1"/>
  <c r="BI28" i="14"/>
  <c r="CD28" i="14" s="1"/>
  <c r="BV28" i="14"/>
  <c r="AP29" i="14"/>
  <c r="BK29" i="14" s="1"/>
  <c r="AR29" i="14"/>
  <c r="BM29" i="14" s="1"/>
  <c r="AS29" i="14"/>
  <c r="BN29" i="14" s="1"/>
  <c r="AU29" i="14"/>
  <c r="BP29" i="14" s="1"/>
  <c r="AV29" i="14"/>
  <c r="AW29" i="14"/>
  <c r="BR29" i="14" s="1"/>
  <c r="AY29" i="14"/>
  <c r="BT29" i="14" s="1"/>
  <c r="AZ29" i="14"/>
  <c r="BU29" i="14" s="1"/>
  <c r="BB29" i="14"/>
  <c r="BW29" i="14" s="1"/>
  <c r="BC29" i="14"/>
  <c r="BX29" i="14" s="1"/>
  <c r="BD29" i="14"/>
  <c r="BY29" i="14" s="1"/>
  <c r="BF29" i="14"/>
  <c r="CA29" i="14" s="1"/>
  <c r="BG29" i="14"/>
  <c r="CB29" i="14" s="1"/>
  <c r="BI29" i="14"/>
  <c r="CD29" i="14" s="1"/>
  <c r="BQ29" i="14"/>
  <c r="AP30" i="14"/>
  <c r="BK30" i="14" s="1"/>
  <c r="AR30" i="14"/>
  <c r="BM30" i="14" s="1"/>
  <c r="AS30" i="14"/>
  <c r="BN30" i="14" s="1"/>
  <c r="AU30" i="14"/>
  <c r="BP30" i="14" s="1"/>
  <c r="AV30" i="14"/>
  <c r="BQ30" i="14" s="1"/>
  <c r="AW30" i="14"/>
  <c r="BR30" i="14" s="1"/>
  <c r="AY30" i="14"/>
  <c r="BT30" i="14" s="1"/>
  <c r="AZ30" i="14"/>
  <c r="BU30" i="14" s="1"/>
  <c r="BB30" i="14"/>
  <c r="BW30" i="14" s="1"/>
  <c r="BC30" i="14"/>
  <c r="BX30" i="14" s="1"/>
  <c r="BD30" i="14"/>
  <c r="BY30" i="14" s="1"/>
  <c r="BF30" i="14"/>
  <c r="CA30" i="14" s="1"/>
  <c r="BG30" i="14"/>
  <c r="CB30" i="14" s="1"/>
  <c r="BI30" i="14"/>
  <c r="CD30" i="14" s="1"/>
  <c r="AP31" i="14"/>
  <c r="BK31" i="14" s="1"/>
  <c r="AR31" i="14"/>
  <c r="BM31" i="14" s="1"/>
  <c r="AS31" i="14"/>
  <c r="BN31" i="14" s="1"/>
  <c r="AU31" i="14"/>
  <c r="BP31" i="14" s="1"/>
  <c r="AV31" i="14"/>
  <c r="BQ31" i="14" s="1"/>
  <c r="AY31" i="14"/>
  <c r="AZ31" i="14"/>
  <c r="BU31" i="14" s="1"/>
  <c r="BB31" i="14"/>
  <c r="BW31" i="14" s="1"/>
  <c r="BC31" i="14"/>
  <c r="BX31" i="14" s="1"/>
  <c r="BD31" i="14"/>
  <c r="BY31" i="14" s="1"/>
  <c r="BF31" i="14"/>
  <c r="CA31" i="14" s="1"/>
  <c r="BG31" i="14"/>
  <c r="CB31" i="14" s="1"/>
  <c r="BI31" i="14"/>
  <c r="CD31" i="14" s="1"/>
  <c r="BT31" i="14"/>
  <c r="AR32" i="14"/>
  <c r="BM32" i="14" s="1"/>
  <c r="AS32" i="14"/>
  <c r="BN32" i="14" s="1"/>
  <c r="AU32" i="14"/>
  <c r="BP32" i="14" s="1"/>
  <c r="AY32" i="14"/>
  <c r="BT32" i="14" s="1"/>
  <c r="AZ32" i="14"/>
  <c r="BU32" i="14" s="1"/>
  <c r="BB32" i="14"/>
  <c r="BW32" i="14" s="1"/>
  <c r="BF32" i="14"/>
  <c r="CA32" i="14" s="1"/>
  <c r="BG32" i="14"/>
  <c r="CB32" i="14" s="1"/>
  <c r="BI32" i="14"/>
  <c r="CD32" i="14" s="1"/>
  <c r="AP33" i="14"/>
  <c r="BK33" i="14" s="1"/>
  <c r="AQ33" i="14"/>
  <c r="AR33" i="14"/>
  <c r="BM33" i="14" s="1"/>
  <c r="AS33" i="14"/>
  <c r="BN33" i="14" s="1"/>
  <c r="AU33" i="14"/>
  <c r="BP33" i="14" s="1"/>
  <c r="AV33" i="14"/>
  <c r="BQ33" i="14" s="1"/>
  <c r="AW33" i="14"/>
  <c r="BR33" i="14" s="1"/>
  <c r="AX33" i="14"/>
  <c r="BS33" i="14" s="1"/>
  <c r="AY33" i="14"/>
  <c r="BT33" i="14" s="1"/>
  <c r="AZ33" i="14"/>
  <c r="BU33" i="14" s="1"/>
  <c r="BB33" i="14"/>
  <c r="BW33" i="14" s="1"/>
  <c r="BC33" i="14"/>
  <c r="BX33" i="14" s="1"/>
  <c r="BD33" i="14"/>
  <c r="BY33" i="14" s="1"/>
  <c r="BE33" i="14"/>
  <c r="BZ33" i="14" s="1"/>
  <c r="BF33" i="14"/>
  <c r="CA33" i="14" s="1"/>
  <c r="BG33" i="14"/>
  <c r="CB33" i="14" s="1"/>
  <c r="BI33" i="14"/>
  <c r="CD33" i="14" s="1"/>
  <c r="BL33" i="14"/>
  <c r="AR34" i="14"/>
  <c r="BM34" i="14" s="1"/>
  <c r="AS34" i="14"/>
  <c r="BN34" i="14" s="1"/>
  <c r="AU34" i="14"/>
  <c r="BP34" i="14" s="1"/>
  <c r="AY34" i="14"/>
  <c r="BT34" i="14" s="1"/>
  <c r="AZ34" i="14"/>
  <c r="BU34" i="14" s="1"/>
  <c r="BB34" i="14"/>
  <c r="BW34" i="14" s="1"/>
  <c r="BF34" i="14"/>
  <c r="CA34" i="14" s="1"/>
  <c r="BG34" i="14"/>
  <c r="CB34" i="14" s="1"/>
  <c r="BI34" i="14"/>
  <c r="CD34" i="14" s="1"/>
  <c r="AP35" i="14"/>
  <c r="BK35" i="14" s="1"/>
  <c r="AR35" i="14"/>
  <c r="BM35" i="14" s="1"/>
  <c r="AS35" i="14"/>
  <c r="BN35" i="14" s="1"/>
  <c r="AU35" i="14"/>
  <c r="BP35" i="14" s="1"/>
  <c r="AV35" i="14"/>
  <c r="BQ35" i="14" s="1"/>
  <c r="AW35" i="14"/>
  <c r="BR35" i="14" s="1"/>
  <c r="AY35" i="14"/>
  <c r="BT35" i="14" s="1"/>
  <c r="AZ35" i="14"/>
  <c r="BU35" i="14" s="1"/>
  <c r="BB35" i="14"/>
  <c r="BW35" i="14" s="1"/>
  <c r="BC35" i="14"/>
  <c r="BX35" i="14" s="1"/>
  <c r="BD35" i="14"/>
  <c r="BY35" i="14" s="1"/>
  <c r="BF35" i="14"/>
  <c r="CA35" i="14" s="1"/>
  <c r="BG35" i="14"/>
  <c r="CB35" i="14" s="1"/>
  <c r="BI35" i="14"/>
  <c r="CD35" i="14" s="1"/>
  <c r="AP36" i="14"/>
  <c r="BK36" i="14" s="1"/>
  <c r="AR36" i="14"/>
  <c r="BM36" i="14" s="1"/>
  <c r="AS36" i="14"/>
  <c r="BN36" i="14" s="1"/>
  <c r="AU36" i="14"/>
  <c r="BP36" i="14" s="1"/>
  <c r="AV36" i="14"/>
  <c r="BQ36" i="14" s="1"/>
  <c r="AW36" i="14"/>
  <c r="BR36" i="14" s="1"/>
  <c r="AY36" i="14"/>
  <c r="BT36" i="14" s="1"/>
  <c r="AZ36" i="14"/>
  <c r="BU36" i="14" s="1"/>
  <c r="BB36" i="14"/>
  <c r="BW36" i="14" s="1"/>
  <c r="BC36" i="14"/>
  <c r="BX36" i="14" s="1"/>
  <c r="BD36" i="14"/>
  <c r="BY36" i="14" s="1"/>
  <c r="BF36" i="14"/>
  <c r="CA36" i="14" s="1"/>
  <c r="BG36" i="14"/>
  <c r="CB36" i="14" s="1"/>
  <c r="BI36" i="14"/>
  <c r="CD36" i="14" s="1"/>
  <c r="AO6" i="14"/>
  <c r="BJ6" i="14" s="1"/>
  <c r="AO8" i="14"/>
  <c r="BJ8" i="14" s="1"/>
  <c r="AO11" i="14"/>
  <c r="BJ11" i="14" s="1"/>
  <c r="AO13" i="14"/>
  <c r="BJ13" i="14" s="1"/>
  <c r="AO15" i="14"/>
  <c r="BJ15" i="14" s="1"/>
  <c r="AO16" i="14"/>
  <c r="BJ16" i="14" s="1"/>
  <c r="AO17" i="14"/>
  <c r="BJ17" i="14" s="1"/>
  <c r="AO18" i="14"/>
  <c r="BJ18" i="14" s="1"/>
  <c r="AO21" i="14"/>
  <c r="BJ21" i="14" s="1"/>
  <c r="AO24" i="14"/>
  <c r="BJ24" i="14" s="1"/>
  <c r="AO26" i="14"/>
  <c r="BJ26" i="14" s="1"/>
  <c r="AO27" i="14"/>
  <c r="BJ27" i="14" s="1"/>
  <c r="AO29" i="14"/>
  <c r="BJ29" i="14" s="1"/>
  <c r="AO30" i="14"/>
  <c r="BJ30" i="14" s="1"/>
  <c r="AO31" i="14"/>
  <c r="BJ31" i="14" s="1"/>
  <c r="AO33" i="14"/>
  <c r="BJ33" i="14" s="1"/>
  <c r="AO35" i="14"/>
  <c r="BJ35" i="14" s="1"/>
  <c r="AO36" i="14"/>
  <c r="BJ36" i="14" s="1"/>
  <c r="AO5" i="14"/>
  <c r="BJ5" i="14" s="1"/>
  <c r="AW31" i="14" l="1"/>
  <c r="BR31" i="14" s="1"/>
  <c r="F32" i="14"/>
  <c r="AJ12" i="14"/>
  <c r="O12" i="14"/>
  <c r="V12" i="14"/>
  <c r="AQ12" i="14" s="1"/>
  <c r="AO12" i="14"/>
  <c r="AC12" i="14"/>
  <c r="AX12" i="14" s="1"/>
  <c r="AV12" i="14"/>
  <c r="P81" i="3"/>
  <c r="P22" i="2"/>
  <c r="P27" i="2"/>
  <c r="P17" i="2"/>
  <c r="P33" i="2"/>
  <c r="P29" i="2"/>
  <c r="P21" i="2"/>
  <c r="P36" i="2"/>
  <c r="P24" i="2"/>
  <c r="P18" i="2"/>
  <c r="P23" i="2"/>
  <c r="P31" i="2"/>
  <c r="P25" i="2"/>
  <c r="P14" i="2"/>
  <c r="P35" i="2"/>
  <c r="P15" i="2"/>
  <c r="P16" i="2"/>
  <c r="P20" i="2"/>
  <c r="P32" i="2"/>
  <c r="P26" i="2"/>
  <c r="P19" i="2"/>
  <c r="P13" i="2"/>
  <c r="P34" i="2"/>
  <c r="P28" i="2"/>
  <c r="P30" i="2"/>
  <c r="M22" i="7" l="1"/>
  <c r="I78" i="3"/>
  <c r="I76" i="3" s="1"/>
  <c r="I74" i="3" l="1"/>
  <c r="I75" i="3"/>
  <c r="O35" i="14"/>
  <c r="V35" i="14" s="1"/>
  <c r="AJ35" i="14"/>
  <c r="BE35" i="14" s="1"/>
  <c r="BZ35" i="14" s="1"/>
  <c r="AC35" i="14"/>
  <c r="AX35" i="14" s="1"/>
  <c r="BS35" i="14" s="1"/>
  <c r="AQ35" i="14"/>
  <c r="BL35" i="14" s="1"/>
  <c r="O36" i="14"/>
  <c r="V36" i="14" s="1"/>
  <c r="BE36" i="14"/>
  <c r="BZ36" i="14" s="1"/>
  <c r="AX36" i="14"/>
  <c r="BS36" i="14" s="1"/>
  <c r="AP34" i="14" l="1"/>
  <c r="BK34" i="14" s="1"/>
  <c r="AO34" i="14"/>
  <c r="BJ34" i="14" s="1"/>
  <c r="O34" i="14"/>
  <c r="V34" i="14" s="1"/>
  <c r="F45" i="7"/>
  <c r="G45" i="7"/>
  <c r="H45" i="7"/>
  <c r="I45" i="7"/>
  <c r="AC34" i="14" l="1"/>
  <c r="AQ34" i="14"/>
  <c r="BL34" i="14" s="1"/>
  <c r="AW34" i="14"/>
  <c r="BR34" i="14" s="1"/>
  <c r="D19" i="11"/>
  <c r="AJ25" i="14"/>
  <c r="BE25" i="14" s="1"/>
  <c r="BZ25" i="14" s="1"/>
  <c r="AA25" i="14"/>
  <c r="AV25" i="14" s="1"/>
  <c r="BQ25" i="14" s="1"/>
  <c r="AB25" i="14"/>
  <c r="AW25" i="14" s="1"/>
  <c r="BR25" i="14" s="1"/>
  <c r="AC25" i="14"/>
  <c r="AX25" i="14" s="1"/>
  <c r="BS25" i="14" s="1"/>
  <c r="V30" i="14"/>
  <c r="AQ30" i="14" s="1"/>
  <c r="BL30" i="14" s="1"/>
  <c r="R29" i="14"/>
  <c r="O29" i="14"/>
  <c r="AM29" i="14"/>
  <c r="BH29" i="14" s="1"/>
  <c r="CC29" i="14" s="1"/>
  <c r="AJ29" i="14"/>
  <c r="BE29" i="14" s="1"/>
  <c r="BZ29" i="14" s="1"/>
  <c r="AF29" i="14"/>
  <c r="BA29" i="14" s="1"/>
  <c r="BV29" i="14" s="1"/>
  <c r="AC29" i="14"/>
  <c r="AX29" i="14" s="1"/>
  <c r="BS29" i="14" s="1"/>
  <c r="V29" i="14"/>
  <c r="AQ29" i="14" s="1"/>
  <c r="BL29" i="14" s="1"/>
  <c r="O8" i="14"/>
  <c r="AJ8" i="14"/>
  <c r="BE8" i="14" s="1"/>
  <c r="BZ8" i="14" s="1"/>
  <c r="AC8" i="14"/>
  <c r="AX8" i="14" s="1"/>
  <c r="BS8" i="14" s="1"/>
  <c r="V8" i="14"/>
  <c r="AQ8" i="14" s="1"/>
  <c r="BL8" i="14" s="1"/>
  <c r="G8" i="14"/>
  <c r="BG12" i="14"/>
  <c r="CB12" i="14" s="1"/>
  <c r="BD12" i="14"/>
  <c r="BY12" i="14" s="1"/>
  <c r="BC12" i="14"/>
  <c r="BX12" i="14" s="1"/>
  <c r="BU12" i="14"/>
  <c r="BR12" i="14"/>
  <c r="BQ12" i="14"/>
  <c r="BN12" i="14"/>
  <c r="BK12" i="14"/>
  <c r="BJ12" i="14"/>
  <c r="I42" i="14"/>
  <c r="F15" i="8"/>
  <c r="F14" i="8"/>
  <c r="F11" i="8"/>
  <c r="F12" i="8"/>
  <c r="H22" i="8"/>
  <c r="F22" i="8"/>
  <c r="R43" i="14"/>
  <c r="AM43" i="14"/>
  <c r="AF43" i="14"/>
  <c r="Y43" i="14"/>
  <c r="K43" i="14"/>
  <c r="R42" i="14"/>
  <c r="AM42" i="14"/>
  <c r="BH12" i="14" s="1"/>
  <c r="CC12" i="14" s="1"/>
  <c r="AF42" i="14"/>
  <c r="BV12" i="14" s="1"/>
  <c r="Y42" i="14"/>
  <c r="BO12" i="14" s="1"/>
  <c r="K42" i="14"/>
  <c r="B7" i="7" l="1"/>
  <c r="B18" i="7" s="1"/>
  <c r="B19" i="7" s="1"/>
  <c r="B20" i="7" s="1"/>
  <c r="B21" i="7" s="1"/>
  <c r="B26" i="6"/>
  <c r="C26" i="6" s="1"/>
  <c r="B9" i="6"/>
  <c r="H23" i="8"/>
  <c r="O42" i="14"/>
  <c r="AC42" i="14"/>
  <c r="BS12" i="14" s="1"/>
  <c r="H24" i="8"/>
  <c r="BD34" i="14"/>
  <c r="BY34" i="14" s="1"/>
  <c r="AJ34" i="14"/>
  <c r="AX34" i="14"/>
  <c r="BS34" i="14" s="1"/>
  <c r="I22" i="8"/>
  <c r="AJ42" i="14" s="1"/>
  <c r="BE12" i="14" s="1"/>
  <c r="BZ12" i="14" s="1"/>
  <c r="G21" i="8"/>
  <c r="I21" i="8"/>
  <c r="G20" i="8"/>
  <c r="I20" i="8"/>
  <c r="G24" i="8"/>
  <c r="I24" i="8"/>
  <c r="G23" i="8"/>
  <c r="I23" i="8"/>
  <c r="H21" i="8"/>
  <c r="G22" i="8"/>
  <c r="H20" i="8"/>
  <c r="AH25" i="14"/>
  <c r="BC25" i="14" s="1"/>
  <c r="BX25" i="14" s="1"/>
  <c r="T25" i="14"/>
  <c r="M25" i="14"/>
  <c r="AI25" i="14"/>
  <c r="BD25" i="14" s="1"/>
  <c r="BY25" i="14" s="1"/>
  <c r="U25" i="14"/>
  <c r="AP25" i="14" s="1"/>
  <c r="BK25" i="14" s="1"/>
  <c r="V25" i="14"/>
  <c r="AQ25" i="14" s="1"/>
  <c r="BL25" i="14" s="1"/>
  <c r="N25" i="14"/>
  <c r="O25" i="14"/>
  <c r="O31" i="14"/>
  <c r="BE31" i="14"/>
  <c r="BZ31" i="14" s="1"/>
  <c r="AX31" i="14"/>
  <c r="BS31" i="14" s="1"/>
  <c r="AQ31" i="14"/>
  <c r="BL31" i="14" s="1"/>
  <c r="O27" i="14"/>
  <c r="AJ27" i="14"/>
  <c r="BE27" i="14" s="1"/>
  <c r="BZ27" i="14" s="1"/>
  <c r="AC27" i="14"/>
  <c r="AX27" i="14" s="1"/>
  <c r="BS27" i="14" s="1"/>
  <c r="V27" i="14"/>
  <c r="AQ27" i="14" s="1"/>
  <c r="BL27" i="14" s="1"/>
  <c r="R36" i="14"/>
  <c r="R35" i="14"/>
  <c r="R34" i="14"/>
  <c r="R32" i="14"/>
  <c r="R31" i="14"/>
  <c r="R30" i="14"/>
  <c r="R27" i="14"/>
  <c r="R26" i="14"/>
  <c r="R25" i="14"/>
  <c r="R24" i="14"/>
  <c r="R22" i="14"/>
  <c r="R21" i="14"/>
  <c r="R20" i="14"/>
  <c r="R19" i="14"/>
  <c r="R18" i="14"/>
  <c r="R17" i="14"/>
  <c r="R16" i="14"/>
  <c r="R15" i="14"/>
  <c r="R14" i="14"/>
  <c r="R13" i="14"/>
  <c r="R11" i="14"/>
  <c r="R10" i="14"/>
  <c r="R9" i="14"/>
  <c r="R8" i="14"/>
  <c r="R7" i="14"/>
  <c r="R6" i="14"/>
  <c r="R5" i="14"/>
  <c r="AM36" i="14"/>
  <c r="BH36" i="14" s="1"/>
  <c r="CC36" i="14" s="1"/>
  <c r="AM35" i="14"/>
  <c r="BH35" i="14" s="1"/>
  <c r="CC35" i="14" s="1"/>
  <c r="AM34" i="14"/>
  <c r="BH34" i="14" s="1"/>
  <c r="CC34" i="14" s="1"/>
  <c r="BH33" i="14"/>
  <c r="CC33" i="14" s="1"/>
  <c r="AM32" i="14"/>
  <c r="BH32" i="14" s="1"/>
  <c r="CC32" i="14" s="1"/>
  <c r="BH31" i="14"/>
  <c r="CC31" i="14" s="1"/>
  <c r="AM30" i="14"/>
  <c r="BH30" i="14" s="1"/>
  <c r="CC30" i="14" s="1"/>
  <c r="AM27" i="14"/>
  <c r="BH27" i="14" s="1"/>
  <c r="CC27" i="14" s="1"/>
  <c r="AM26" i="14"/>
  <c r="BH26" i="14" s="1"/>
  <c r="CC26" i="14" s="1"/>
  <c r="AM25" i="14"/>
  <c r="BH25" i="14" s="1"/>
  <c r="CC25" i="14" s="1"/>
  <c r="AM24" i="14"/>
  <c r="BH24" i="14" s="1"/>
  <c r="CC24" i="14" s="1"/>
  <c r="AM22" i="14"/>
  <c r="BH22" i="14" s="1"/>
  <c r="CC22" i="14" s="1"/>
  <c r="AM21" i="14"/>
  <c r="BH21" i="14" s="1"/>
  <c r="CC21" i="14" s="1"/>
  <c r="AM20" i="14"/>
  <c r="BH20" i="14" s="1"/>
  <c r="CC20" i="14" s="1"/>
  <c r="AM19" i="14"/>
  <c r="BH19" i="14" s="1"/>
  <c r="CC19" i="14" s="1"/>
  <c r="AM18" i="14"/>
  <c r="BH18" i="14" s="1"/>
  <c r="CC18" i="14" s="1"/>
  <c r="AM17" i="14"/>
  <c r="BH17" i="14" s="1"/>
  <c r="CC17" i="14" s="1"/>
  <c r="AM16" i="14"/>
  <c r="BH16" i="14" s="1"/>
  <c r="CC16" i="14" s="1"/>
  <c r="AM15" i="14"/>
  <c r="BH15" i="14" s="1"/>
  <c r="CC15" i="14" s="1"/>
  <c r="AM14" i="14"/>
  <c r="BH14" i="14" s="1"/>
  <c r="CC14" i="14" s="1"/>
  <c r="AM13" i="14"/>
  <c r="BH13" i="14" s="1"/>
  <c r="CC13" i="14" s="1"/>
  <c r="AM11" i="14"/>
  <c r="BH11" i="14" s="1"/>
  <c r="CC11" i="14" s="1"/>
  <c r="AM10" i="14"/>
  <c r="BH10" i="14" s="1"/>
  <c r="CC10" i="14" s="1"/>
  <c r="AM9" i="14"/>
  <c r="BH9" i="14" s="1"/>
  <c r="CC9" i="14" s="1"/>
  <c r="AM8" i="14"/>
  <c r="BH8" i="14" s="1"/>
  <c r="CC8" i="14" s="1"/>
  <c r="AM7" i="14"/>
  <c r="BH7" i="14" s="1"/>
  <c r="CC7" i="14" s="1"/>
  <c r="AM6" i="14"/>
  <c r="BH6" i="14" s="1"/>
  <c r="CC6" i="14" s="1"/>
  <c r="AM5" i="14"/>
  <c r="BH5" i="14" s="1"/>
  <c r="CC5" i="14" s="1"/>
  <c r="AF36" i="14"/>
  <c r="BA36" i="14" s="1"/>
  <c r="BV36" i="14" s="1"/>
  <c r="AF35" i="14"/>
  <c r="BA35" i="14" s="1"/>
  <c r="BV35" i="14" s="1"/>
  <c r="AF34" i="14"/>
  <c r="BA34" i="14" s="1"/>
  <c r="BV34" i="14" s="1"/>
  <c r="BA33" i="14"/>
  <c r="BV33" i="14" s="1"/>
  <c r="AF32" i="14"/>
  <c r="BA32" i="14" s="1"/>
  <c r="BV32" i="14" s="1"/>
  <c r="BA31" i="14"/>
  <c r="BV31" i="14" s="1"/>
  <c r="AF30" i="14"/>
  <c r="BA30" i="14" s="1"/>
  <c r="BV30" i="14" s="1"/>
  <c r="AF27" i="14"/>
  <c r="BA27" i="14" s="1"/>
  <c r="BV27" i="14" s="1"/>
  <c r="AF26" i="14"/>
  <c r="BA26" i="14" s="1"/>
  <c r="BV26" i="14" s="1"/>
  <c r="AF25" i="14"/>
  <c r="BA25" i="14" s="1"/>
  <c r="BV25" i="14" s="1"/>
  <c r="AF24" i="14"/>
  <c r="BA24" i="14" s="1"/>
  <c r="BV24" i="14" s="1"/>
  <c r="AF22" i="14"/>
  <c r="BA22" i="14" s="1"/>
  <c r="BV22" i="14" s="1"/>
  <c r="AF21" i="14"/>
  <c r="BA21" i="14" s="1"/>
  <c r="BV21" i="14" s="1"/>
  <c r="AF20" i="14"/>
  <c r="BA20" i="14" s="1"/>
  <c r="BV20" i="14" s="1"/>
  <c r="AF19" i="14"/>
  <c r="BA19" i="14" s="1"/>
  <c r="BV19" i="14" s="1"/>
  <c r="AF18" i="14"/>
  <c r="BA18" i="14" s="1"/>
  <c r="BV18" i="14" s="1"/>
  <c r="AF17" i="14"/>
  <c r="BA17" i="14" s="1"/>
  <c r="BV17" i="14" s="1"/>
  <c r="AF16" i="14"/>
  <c r="BA16" i="14" s="1"/>
  <c r="BV16" i="14" s="1"/>
  <c r="AF15" i="14"/>
  <c r="BA15" i="14" s="1"/>
  <c r="BV15" i="14" s="1"/>
  <c r="AF14" i="14"/>
  <c r="BA14" i="14" s="1"/>
  <c r="BV14" i="14" s="1"/>
  <c r="AF13" i="14"/>
  <c r="BA13" i="14" s="1"/>
  <c r="BV13" i="14" s="1"/>
  <c r="AF11" i="14"/>
  <c r="BA11" i="14" s="1"/>
  <c r="BV11" i="14" s="1"/>
  <c r="AF10" i="14"/>
  <c r="BA10" i="14" s="1"/>
  <c r="BV10" i="14" s="1"/>
  <c r="AF9" i="14"/>
  <c r="AF8" i="14"/>
  <c r="BA8" i="14" s="1"/>
  <c r="BV8" i="14" s="1"/>
  <c r="AF7" i="14"/>
  <c r="BA7" i="14" s="1"/>
  <c r="BV7" i="14" s="1"/>
  <c r="AF6" i="14"/>
  <c r="BA6" i="14" s="1"/>
  <c r="BV6" i="14" s="1"/>
  <c r="AF5" i="14"/>
  <c r="BA5" i="14" s="1"/>
  <c r="BV5" i="14" s="1"/>
  <c r="Y36" i="14"/>
  <c r="AT36" i="14" s="1"/>
  <c r="BO36" i="14" s="1"/>
  <c r="Y35" i="14"/>
  <c r="AT35" i="14" s="1"/>
  <c r="BO35" i="14" s="1"/>
  <c r="Y34" i="14"/>
  <c r="AT34" i="14" s="1"/>
  <c r="BO34" i="14" s="1"/>
  <c r="AT33" i="14"/>
  <c r="BO33" i="14" s="1"/>
  <c r="Y32" i="14"/>
  <c r="AT32" i="14" s="1"/>
  <c r="BO32" i="14" s="1"/>
  <c r="AT31" i="14"/>
  <c r="BO31" i="14" s="1"/>
  <c r="Y30" i="14"/>
  <c r="AT30" i="14" s="1"/>
  <c r="BO30" i="14" s="1"/>
  <c r="Y29" i="14"/>
  <c r="AT29" i="14" s="1"/>
  <c r="BO29" i="14" s="1"/>
  <c r="Y27" i="14"/>
  <c r="AT27" i="14" s="1"/>
  <c r="BO27" i="14" s="1"/>
  <c r="Y26" i="14"/>
  <c r="AT26" i="14" s="1"/>
  <c r="BO26" i="14" s="1"/>
  <c r="Y25" i="14"/>
  <c r="AT25" i="14" s="1"/>
  <c r="BO25" i="14" s="1"/>
  <c r="Y24" i="14"/>
  <c r="AT24" i="14" s="1"/>
  <c r="BO24" i="14" s="1"/>
  <c r="Y22" i="14"/>
  <c r="AT22" i="14" s="1"/>
  <c r="BO22" i="14" s="1"/>
  <c r="Y21" i="14"/>
  <c r="AT21" i="14" s="1"/>
  <c r="BO21" i="14" s="1"/>
  <c r="Y20" i="14"/>
  <c r="AT20" i="14" s="1"/>
  <c r="BO20" i="14" s="1"/>
  <c r="Y19" i="14"/>
  <c r="AT19" i="14" s="1"/>
  <c r="BO19" i="14" s="1"/>
  <c r="Y18" i="14"/>
  <c r="AT18" i="14" s="1"/>
  <c r="BO18" i="14" s="1"/>
  <c r="Y17" i="14"/>
  <c r="AT17" i="14" s="1"/>
  <c r="BO17" i="14" s="1"/>
  <c r="Y16" i="14"/>
  <c r="AT16" i="14" s="1"/>
  <c r="BO16" i="14" s="1"/>
  <c r="Y15" i="14"/>
  <c r="AT15" i="14" s="1"/>
  <c r="BO15" i="14" s="1"/>
  <c r="Y14" i="14"/>
  <c r="AT14" i="14" s="1"/>
  <c r="BO14" i="14" s="1"/>
  <c r="Y13" i="14"/>
  <c r="AT13" i="14" s="1"/>
  <c r="BO13" i="14" s="1"/>
  <c r="Y11" i="14"/>
  <c r="AT11" i="14" s="1"/>
  <c r="BO11" i="14" s="1"/>
  <c r="Y10" i="14"/>
  <c r="AT10" i="14" s="1"/>
  <c r="BO10" i="14" s="1"/>
  <c r="Y9" i="14"/>
  <c r="Y8" i="14"/>
  <c r="AT8" i="14" s="1"/>
  <c r="BO8" i="14" s="1"/>
  <c r="Y7" i="14"/>
  <c r="AT7" i="14" s="1"/>
  <c r="BO7" i="14" s="1"/>
  <c r="Y6" i="14"/>
  <c r="AT6" i="14" s="1"/>
  <c r="BO6" i="14" s="1"/>
  <c r="Y5" i="14"/>
  <c r="AT5" i="14" s="1"/>
  <c r="BO5" i="14" s="1"/>
  <c r="N19" i="14"/>
  <c r="M19" i="14"/>
  <c r="AI19" i="14"/>
  <c r="BD19" i="14" s="1"/>
  <c r="BY19" i="14" s="1"/>
  <c r="AH19" i="14"/>
  <c r="BC19" i="14" s="1"/>
  <c r="BX19" i="14" s="1"/>
  <c r="AB19" i="14"/>
  <c r="AW19" i="14" s="1"/>
  <c r="BR19" i="14" s="1"/>
  <c r="AA19" i="14"/>
  <c r="AV19" i="14" s="1"/>
  <c r="BQ19" i="14" s="1"/>
  <c r="U19" i="14"/>
  <c r="AP19" i="14" s="1"/>
  <c r="BK19" i="14" s="1"/>
  <c r="T19" i="14"/>
  <c r="H25" i="8" l="1"/>
  <c r="H26" i="8" s="1"/>
  <c r="AD42" i="14" s="1"/>
  <c r="BT12" i="14" s="1"/>
  <c r="AO19" i="14"/>
  <c r="BJ19" i="14" s="1"/>
  <c r="F19" i="14"/>
  <c r="AO25" i="14"/>
  <c r="BJ25" i="14" s="1"/>
  <c r="F25" i="14"/>
  <c r="V42" i="14"/>
  <c r="BL12" i="14" s="1"/>
  <c r="F24" i="8"/>
  <c r="BE34" i="14"/>
  <c r="BZ34" i="14" s="1"/>
  <c r="F20" i="8"/>
  <c r="O43" i="14" s="1"/>
  <c r="G25" i="8"/>
  <c r="G26" i="8" s="1"/>
  <c r="W42" i="14" s="1"/>
  <c r="BM12" i="14" s="1"/>
  <c r="F21" i="8"/>
  <c r="I25" i="8"/>
  <c r="I26" i="8" s="1"/>
  <c r="AK42" i="14" s="1"/>
  <c r="BF12" i="14" s="1"/>
  <c r="CA12" i="14" s="1"/>
  <c r="F23" i="8"/>
  <c r="P69" i="6"/>
  <c r="O69" i="6"/>
  <c r="P68" i="6"/>
  <c r="O68" i="6"/>
  <c r="H42" i="14" l="1"/>
  <c r="AC43" i="14"/>
  <c r="AJ43" i="14"/>
  <c r="F25" i="8"/>
  <c r="F26" i="8" s="1"/>
  <c r="P42" i="14" s="1"/>
  <c r="V43" i="14"/>
  <c r="H43" i="14"/>
  <c r="O15" i="14"/>
  <c r="AJ15" i="14"/>
  <c r="BE15" i="14" s="1"/>
  <c r="BZ15" i="14" s="1"/>
  <c r="AC15" i="14"/>
  <c r="AX15" i="14" s="1"/>
  <c r="BS15" i="14" s="1"/>
  <c r="V15" i="14"/>
  <c r="AQ15" i="14" s="1"/>
  <c r="BL15" i="14" s="1"/>
  <c r="K22" i="14"/>
  <c r="O81" i="3"/>
  <c r="O82" i="3"/>
  <c r="P82" i="3"/>
  <c r="N74" i="3"/>
  <c r="G13" i="14" l="1"/>
  <c r="H13" i="14" l="1"/>
  <c r="K13" i="14"/>
  <c r="O13" i="14"/>
  <c r="AJ13" i="14"/>
  <c r="BE13" i="14" s="1"/>
  <c r="BZ13" i="14" s="1"/>
  <c r="AC13" i="14"/>
  <c r="AX13" i="14" s="1"/>
  <c r="BS13" i="14" s="1"/>
  <c r="V13" i="14"/>
  <c r="AQ13" i="14" s="1"/>
  <c r="BL13" i="14" s="1"/>
  <c r="V16" i="14"/>
  <c r="AQ16" i="14" s="1"/>
  <c r="BL16" i="14" s="1"/>
  <c r="AJ16" i="14"/>
  <c r="BE16" i="14" s="1"/>
  <c r="BZ16" i="14" s="1"/>
  <c r="AC16" i="14"/>
  <c r="AX16" i="14" s="1"/>
  <c r="BS16" i="14" s="1"/>
  <c r="U10" i="14"/>
  <c r="U23" i="14" s="1"/>
  <c r="T10" i="14"/>
  <c r="F64" i="3"/>
  <c r="F65" i="3" s="1"/>
  <c r="F66" i="3" s="1"/>
  <c r="N5" i="3"/>
  <c r="T23" i="14" l="1"/>
  <c r="AP23" i="14"/>
  <c r="BK23" i="14" s="1"/>
  <c r="AO10" i="14"/>
  <c r="BJ10" i="14" s="1"/>
  <c r="T22" i="14"/>
  <c r="AP10" i="14"/>
  <c r="BK10" i="14" s="1"/>
  <c r="U22" i="14"/>
  <c r="N56" i="3"/>
  <c r="N53" i="3"/>
  <c r="S40" i="6"/>
  <c r="AO23" i="14" l="1"/>
  <c r="BJ23" i="14" s="1"/>
  <c r="V23" i="14"/>
  <c r="AQ23" i="14" s="1"/>
  <c r="BL23" i="14" s="1"/>
  <c r="AP22" i="14"/>
  <c r="BK22" i="14" s="1"/>
  <c r="V22" i="14"/>
  <c r="AQ22" i="14" s="1"/>
  <c r="BL22" i="14" s="1"/>
  <c r="AO22" i="14"/>
  <c r="BJ22" i="14" s="1"/>
  <c r="S41" i="6"/>
  <c r="M43" i="3" l="1"/>
  <c r="M40" i="3"/>
  <c r="M45" i="3" s="1"/>
  <c r="M46" i="3" l="1"/>
  <c r="M44" i="3"/>
  <c r="N40" i="6"/>
  <c r="N39" i="6"/>
  <c r="N38" i="6"/>
  <c r="N37" i="6"/>
  <c r="O32" i="6"/>
  <c r="N32" i="6"/>
  <c r="F7" i="7" l="1"/>
  <c r="F8" i="6" l="1"/>
  <c r="N11" i="6"/>
  <c r="N12" i="6" s="1"/>
  <c r="N7" i="6"/>
  <c r="N8" i="6" s="1"/>
  <c r="O16" i="14" l="1"/>
  <c r="G36" i="14"/>
  <c r="G35" i="14"/>
  <c r="G31" i="14"/>
  <c r="G30" i="14"/>
  <c r="G29" i="14"/>
  <c r="G27" i="14"/>
  <c r="G26" i="14"/>
  <c r="G25" i="14"/>
  <c r="G24" i="14"/>
  <c r="G21" i="14"/>
  <c r="G19" i="14"/>
  <c r="G18" i="14"/>
  <c r="G17" i="14"/>
  <c r="G16" i="14"/>
  <c r="G15" i="14"/>
  <c r="G11" i="14"/>
  <c r="O10" i="14" l="1"/>
  <c r="N9" i="14"/>
  <c r="G9" i="14" s="1"/>
  <c r="O32" i="14"/>
  <c r="V32" i="14" s="1"/>
  <c r="AC32" i="14" s="1"/>
  <c r="AJ32" i="14" s="1"/>
  <c r="O30" i="14"/>
  <c r="O26" i="14"/>
  <c r="O11" i="14"/>
  <c r="O9" i="14" l="1"/>
  <c r="O7" i="14"/>
  <c r="K45" i="7"/>
  <c r="K46" i="7" s="1"/>
  <c r="J45" i="7"/>
  <c r="J46" i="7" s="1"/>
  <c r="I46" i="7"/>
  <c r="H46" i="7"/>
  <c r="G46" i="7"/>
  <c r="F46" i="7"/>
  <c r="AJ26" i="14" l="1"/>
  <c r="BE26" i="14" s="1"/>
  <c r="BZ26" i="14" s="1"/>
  <c r="AC26" i="14"/>
  <c r="AX26" i="14" s="1"/>
  <c r="BS26" i="14" s="1"/>
  <c r="V26" i="14"/>
  <c r="AQ26" i="14" s="1"/>
  <c r="BL26" i="14" s="1"/>
  <c r="H21" i="14" l="1"/>
  <c r="H24" i="14"/>
  <c r="H25" i="14"/>
  <c r="H27" i="14"/>
  <c r="H30" i="14"/>
  <c r="H31" i="14"/>
  <c r="H35" i="14"/>
  <c r="H36" i="14"/>
  <c r="H19" i="14"/>
  <c r="H18" i="14"/>
  <c r="H11" i="14"/>
  <c r="H16" i="14"/>
  <c r="H5" i="14"/>
  <c r="H8" i="14"/>
  <c r="AJ11" i="14"/>
  <c r="BE11" i="14" s="1"/>
  <c r="BZ11" i="14" s="1"/>
  <c r="AC11" i="14"/>
  <c r="AX11" i="14" s="1"/>
  <c r="BS11" i="14" s="1"/>
  <c r="V11" i="14"/>
  <c r="AQ11" i="14" s="1"/>
  <c r="BL11" i="14" s="1"/>
  <c r="AJ30" i="14" l="1"/>
  <c r="BE30" i="14" s="1"/>
  <c r="BZ30" i="14" s="1"/>
  <c r="AC30" i="14"/>
  <c r="AX30" i="14" s="1"/>
  <c r="BS30" i="14" s="1"/>
  <c r="AB10" i="14"/>
  <c r="V10" i="14"/>
  <c r="AQ10" i="14" s="1"/>
  <c r="BL10" i="14" s="1"/>
  <c r="AB22" i="14" l="1"/>
  <c r="AW22" i="14" s="1"/>
  <c r="BR22" i="14" s="1"/>
  <c r="AB23" i="14"/>
  <c r="AI10" i="14"/>
  <c r="BD10" i="14" s="1"/>
  <c r="BY10" i="14" s="1"/>
  <c r="AW10" i="14"/>
  <c r="BR10" i="14" s="1"/>
  <c r="AA10" i="14"/>
  <c r="G10" i="14"/>
  <c r="BD32" i="14"/>
  <c r="BY32" i="14" s="1"/>
  <c r="BC32" i="14"/>
  <c r="BX32" i="14" s="1"/>
  <c r="AW32" i="14"/>
  <c r="BR32" i="14" s="1"/>
  <c r="AV32" i="14"/>
  <c r="BQ32" i="14" s="1"/>
  <c r="BK32" i="14"/>
  <c r="BJ32" i="14"/>
  <c r="AA22" i="14" l="1"/>
  <c r="AV22" i="14" s="1"/>
  <c r="BQ22" i="14" s="1"/>
  <c r="AA23" i="14"/>
  <c r="AI23" i="14"/>
  <c r="BD23" i="14" s="1"/>
  <c r="BY23" i="14" s="1"/>
  <c r="AW23" i="14"/>
  <c r="BR23" i="14" s="1"/>
  <c r="AI22" i="14"/>
  <c r="AH10" i="14"/>
  <c r="AV10" i="14"/>
  <c r="BQ10" i="14" s="1"/>
  <c r="BE32" i="14"/>
  <c r="BZ32" i="14" s="1"/>
  <c r="AX32" i="14"/>
  <c r="BS32" i="14" s="1"/>
  <c r="AC10" i="14"/>
  <c r="AX10" i="14" s="1"/>
  <c r="BS10" i="14" s="1"/>
  <c r="G32" i="14"/>
  <c r="AQ32" i="14"/>
  <c r="BL32" i="14" s="1"/>
  <c r="H6" i="14"/>
  <c r="AH22" i="14" l="1"/>
  <c r="F22" i="14" s="1"/>
  <c r="AC22" i="14"/>
  <c r="AX22" i="14" s="1"/>
  <c r="BS22" i="14" s="1"/>
  <c r="F10" i="14"/>
  <c r="H10" i="14" s="1"/>
  <c r="AO7" i="14"/>
  <c r="BJ7" i="14" s="1"/>
  <c r="G23" i="14"/>
  <c r="AV23" i="14"/>
  <c r="BQ23" i="14" s="1"/>
  <c r="AH23" i="14"/>
  <c r="F23" i="14" s="1"/>
  <c r="AC23" i="14"/>
  <c r="AX23" i="14" s="1"/>
  <c r="BS23" i="14" s="1"/>
  <c r="BD22" i="14"/>
  <c r="BY22" i="14" s="1"/>
  <c r="G22" i="14"/>
  <c r="H32" i="14"/>
  <c r="AP7" i="14"/>
  <c r="BK7" i="14" s="1"/>
  <c r="AJ10" i="14"/>
  <c r="BE10" i="14" s="1"/>
  <c r="BZ10" i="14" s="1"/>
  <c r="BC10" i="14"/>
  <c r="BX10" i="14" s="1"/>
  <c r="AQ7" i="14"/>
  <c r="BL7" i="14" s="1"/>
  <c r="H26" i="14"/>
  <c r="H29" i="14"/>
  <c r="H15" i="14"/>
  <c r="H17" i="14"/>
  <c r="H9" i="14"/>
  <c r="BC22" i="14" l="1"/>
  <c r="BX22" i="14" s="1"/>
  <c r="AJ22" i="14"/>
  <c r="BE22" i="14" s="1"/>
  <c r="BZ22" i="14" s="1"/>
  <c r="AJ23" i="14"/>
  <c r="BE23" i="14" s="1"/>
  <c r="BZ23" i="14" s="1"/>
  <c r="BC23" i="14"/>
  <c r="BX23" i="14" s="1"/>
  <c r="H23" i="14"/>
  <c r="H22" i="14"/>
  <c r="F7" i="14"/>
  <c r="AV7" i="14"/>
  <c r="BQ7" i="14" s="1"/>
  <c r="AW7" i="14"/>
  <c r="BR7" i="14" s="1"/>
  <c r="B7" i="6"/>
  <c r="P83" i="3"/>
  <c r="P84" i="3" s="1"/>
  <c r="O83" i="3"/>
  <c r="O84" i="3" s="1"/>
  <c r="S42" i="6"/>
  <c r="S43" i="6" s="1"/>
  <c r="B8" i="7"/>
  <c r="AX7" i="14"/>
  <c r="BS7" i="14" s="1"/>
  <c r="AQ36" i="14"/>
  <c r="BL36" i="14" s="1"/>
  <c r="BD7" i="14" l="1"/>
  <c r="BY7" i="14" s="1"/>
  <c r="G7" i="14"/>
  <c r="H7" i="14" s="1"/>
  <c r="BE7" i="14"/>
  <c r="BZ7" i="14" s="1"/>
  <c r="BC7" i="14"/>
  <c r="BX7" i="14" s="1"/>
  <c r="N42" i="6"/>
  <c r="N43" i="6"/>
  <c r="N44" i="6"/>
  <c r="N45" i="6"/>
  <c r="D9" i="11"/>
  <c r="D10" i="11"/>
  <c r="K36" i="14"/>
  <c r="K35" i="14"/>
  <c r="K34" i="14"/>
  <c r="K33" i="14"/>
  <c r="K32" i="14"/>
  <c r="K31" i="14"/>
  <c r="K30" i="14"/>
  <c r="K29" i="14"/>
  <c r="K27" i="14"/>
  <c r="K26" i="14"/>
  <c r="K25" i="14"/>
  <c r="K24" i="14"/>
  <c r="K21" i="14"/>
  <c r="K20" i="14"/>
  <c r="K19" i="14"/>
  <c r="K18" i="14"/>
  <c r="E18" i="14"/>
  <c r="K17" i="14"/>
  <c r="K16" i="14"/>
  <c r="K15" i="14"/>
  <c r="K14" i="14"/>
  <c r="K11" i="14"/>
  <c r="K10" i="14"/>
  <c r="K9" i="14"/>
  <c r="K8" i="14"/>
  <c r="K7" i="14"/>
  <c r="K6" i="14"/>
  <c r="K5" i="14"/>
  <c r="N48" i="6" l="1"/>
  <c r="D4" i="11"/>
  <c r="D3" i="11"/>
  <c r="N57" i="6" l="1"/>
  <c r="N14" i="14"/>
  <c r="N47" i="6"/>
  <c r="J17" i="3"/>
  <c r="AB14" i="14" l="1"/>
  <c r="AW14" i="14" s="1"/>
  <c r="BR14" i="14" s="1"/>
  <c r="N60" i="6"/>
  <c r="AI14" i="14" s="1"/>
  <c r="BD14" i="14" s="1"/>
  <c r="BY14" i="14" s="1"/>
  <c r="N53" i="6"/>
  <c r="N56" i="6" s="1"/>
  <c r="M14" i="14"/>
  <c r="O14" i="14" s="1"/>
  <c r="N51" i="6"/>
  <c r="U14" i="14" s="1"/>
  <c r="AP14" i="14" s="1"/>
  <c r="BK14" i="14" s="1"/>
  <c r="I12" i="3"/>
  <c r="N50" i="6" l="1"/>
  <c r="T14" i="14" s="1"/>
  <c r="G14" i="14"/>
  <c r="AA14" i="14"/>
  <c r="AV14" i="14" s="1"/>
  <c r="BQ14" i="14" s="1"/>
  <c r="N59" i="6"/>
  <c r="AH14" i="14" s="1"/>
  <c r="B9" i="7"/>
  <c r="N7" i="3"/>
  <c r="N9" i="3"/>
  <c r="F6" i="6"/>
  <c r="F7" i="6" s="1"/>
  <c r="F6" i="7" s="1"/>
  <c r="F6" i="3"/>
  <c r="F7" i="3"/>
  <c r="F14" i="14" l="1"/>
  <c r="H14" i="14" s="1"/>
  <c r="AJ14" i="14"/>
  <c r="BE14" i="14" s="1"/>
  <c r="BZ14" i="14" s="1"/>
  <c r="BC14" i="14"/>
  <c r="BX14" i="14" s="1"/>
  <c r="V14" i="14"/>
  <c r="AQ14" i="14" s="1"/>
  <c r="BL14" i="14" s="1"/>
  <c r="AO14" i="14"/>
  <c r="BJ14" i="14" s="1"/>
  <c r="AC14" i="14"/>
  <c r="AX14" i="14" s="1"/>
  <c r="BS14" i="14" s="1"/>
  <c r="F10" i="7"/>
  <c r="E22" i="1"/>
  <c r="D18" i="11"/>
  <c r="N6" i="3" l="1"/>
  <c r="N8" i="3" s="1"/>
  <c r="F10" i="6" l="1"/>
  <c r="B23" i="3"/>
  <c r="B22" i="3"/>
  <c r="B20" i="3"/>
  <c r="B19" i="3"/>
  <c r="B6" i="3"/>
  <c r="J5" i="3"/>
  <c r="J8" i="3" s="1"/>
  <c r="B5" i="3"/>
  <c r="B4" i="3"/>
  <c r="O98" i="3" l="1"/>
  <c r="N10" i="3" s="1"/>
  <c r="N12" i="3" s="1"/>
  <c r="J31" i="3"/>
  <c r="P85" i="3"/>
  <c r="P86" i="3" s="1"/>
  <c r="P87" i="3" s="1"/>
  <c r="P88" i="3" s="1"/>
  <c r="O85" i="3"/>
  <c r="O86" i="3" s="1"/>
  <c r="O87" i="3" s="1"/>
  <c r="O88" i="3" s="1"/>
  <c r="J28" i="3"/>
  <c r="J29" i="3" s="1"/>
  <c r="J30" i="3" s="1"/>
  <c r="J18" i="3"/>
  <c r="J19" i="3" s="1"/>
  <c r="J20" i="3" s="1"/>
  <c r="P89" i="3" l="1"/>
  <c r="P90" i="3"/>
  <c r="P93" i="3" s="1"/>
  <c r="O89" i="3"/>
  <c r="O90" i="3"/>
  <c r="J6" i="3"/>
  <c r="F45" i="3"/>
  <c r="F46" i="3" s="1"/>
  <c r="B16" i="3"/>
  <c r="O93" i="3" l="1"/>
  <c r="F28" i="14"/>
  <c r="M28" i="14" s="1"/>
  <c r="T28" i="14" s="1"/>
  <c r="O91" i="3"/>
  <c r="P91" i="3"/>
  <c r="G28" i="14"/>
  <c r="N28" i="14" s="1"/>
  <c r="U28" i="14" s="1"/>
  <c r="F14" i="6"/>
  <c r="F15" i="7" s="1"/>
  <c r="F25" i="3"/>
  <c r="F21" i="3"/>
  <c r="F28" i="3" s="1"/>
  <c r="B12" i="3"/>
  <c r="B11" i="3"/>
  <c r="AO28" i="14" l="1"/>
  <c r="BJ28" i="14" s="1"/>
  <c r="AA28" i="14"/>
  <c r="AP28" i="14"/>
  <c r="BK28" i="14" s="1"/>
  <c r="AB28" i="14"/>
  <c r="H28" i="14"/>
  <c r="O28" i="14" s="1"/>
  <c r="V28" i="14" s="1"/>
  <c r="B10" i="6"/>
  <c r="F13" i="6" s="1"/>
  <c r="B8" i="3"/>
  <c r="F8" i="3"/>
  <c r="F10" i="3" s="1"/>
  <c r="F14" i="3" s="1"/>
  <c r="F15" i="3" s="1"/>
  <c r="F17" i="3" s="1"/>
  <c r="B7" i="3"/>
  <c r="B26" i="3"/>
  <c r="B27" i="3"/>
  <c r="B13" i="3"/>
  <c r="F35" i="3" s="1"/>
  <c r="AC28" i="14" l="1"/>
  <c r="AQ28" i="14"/>
  <c r="BL28" i="14" s="1"/>
  <c r="AI28" i="14"/>
  <c r="BD28" i="14" s="1"/>
  <c r="BY28" i="14" s="1"/>
  <c r="AW28" i="14"/>
  <c r="BR28" i="14" s="1"/>
  <c r="AH28" i="14"/>
  <c r="BC28" i="14" s="1"/>
  <c r="BX28" i="14" s="1"/>
  <c r="AV28" i="14"/>
  <c r="BQ28" i="14" s="1"/>
  <c r="J4" i="3"/>
  <c r="F34" i="3"/>
  <c r="F39" i="3" s="1"/>
  <c r="B28" i="3"/>
  <c r="B10" i="3" s="1"/>
  <c r="F38" i="3" s="1"/>
  <c r="F27" i="3"/>
  <c r="J7" i="3" l="1"/>
  <c r="AJ28" i="14"/>
  <c r="BE28" i="14" s="1"/>
  <c r="BZ28" i="14" s="1"/>
  <c r="AX28" i="14"/>
  <c r="BS28" i="14" s="1"/>
  <c r="J9" i="3"/>
  <c r="B21" i="3"/>
  <c r="B24" i="3" s="1"/>
  <c r="F36" i="3" s="1"/>
  <c r="F37" i="3" s="1"/>
  <c r="F40" i="3" s="1"/>
  <c r="F29" i="3"/>
  <c r="B15" i="3"/>
  <c r="B17" i="3" s="1"/>
  <c r="F31" i="3" s="1"/>
  <c r="J12" i="3" l="1"/>
  <c r="J26" i="3"/>
  <c r="F30" i="3"/>
  <c r="F32" i="3" s="1"/>
  <c r="F42" i="3" s="1"/>
  <c r="F44" i="3" s="1"/>
  <c r="F47" i="3" s="1"/>
  <c r="J32" i="3" l="1"/>
  <c r="N16" i="3" s="1"/>
  <c r="F49" i="3"/>
  <c r="F52" i="3" s="1"/>
  <c r="F53" i="3" s="1"/>
  <c r="F50" i="3"/>
  <c r="J14" i="3" s="1"/>
  <c r="F15" i="6" l="1"/>
  <c r="F18" i="6" s="1"/>
  <c r="N17" i="3"/>
  <c r="J21" i="3"/>
  <c r="J22" i="3" s="1"/>
  <c r="J23" i="3" s="1"/>
  <c r="F54" i="3" s="1"/>
  <c r="G58" i="3" l="1"/>
  <c r="G59" i="3" s="1"/>
  <c r="N60" i="3" s="1"/>
  <c r="J34" i="3"/>
  <c r="J35" i="3" s="1"/>
  <c r="B12" i="7" s="1"/>
  <c r="N59" i="3" l="1"/>
  <c r="T20" i="14" s="1"/>
  <c r="U20" i="14"/>
  <c r="AP20" i="14" s="1"/>
  <c r="BK20" i="14" s="1"/>
  <c r="N20" i="14"/>
  <c r="N63" i="3"/>
  <c r="N66" i="3" s="1"/>
  <c r="AB20" i="14" s="1"/>
  <c r="AW20" i="14" s="1"/>
  <c r="BR20" i="14" s="1"/>
  <c r="N15" i="3"/>
  <c r="N18" i="3" s="1"/>
  <c r="N21" i="3" s="1"/>
  <c r="B10" i="7"/>
  <c r="F14" i="7" l="1"/>
  <c r="F16" i="7" s="1"/>
  <c r="F19" i="7" s="1"/>
  <c r="N22" i="3" s="1"/>
  <c r="N23" i="3" s="1"/>
  <c r="AO20" i="14"/>
  <c r="BJ20" i="14" s="1"/>
  <c r="N62" i="3"/>
  <c r="N65" i="3" s="1"/>
  <c r="AA20" i="14" s="1"/>
  <c r="M20" i="14"/>
  <c r="O20" i="14" s="1"/>
  <c r="V20" i="14"/>
  <c r="AQ20" i="14" s="1"/>
  <c r="BL20" i="14" s="1"/>
  <c r="N69" i="3"/>
  <c r="AI20" i="14" s="1"/>
  <c r="BD20" i="14" s="1"/>
  <c r="BY20" i="14" s="1"/>
  <c r="F20" i="7"/>
  <c r="I3" i="1" l="1"/>
  <c r="F19" i="6"/>
  <c r="F20" i="6" s="1"/>
  <c r="AC20" i="14"/>
  <c r="AX20" i="14" s="1"/>
  <c r="BS20" i="14" s="1"/>
  <c r="AV20" i="14"/>
  <c r="BQ20" i="14" s="1"/>
  <c r="N68" i="3"/>
  <c r="AH20" i="14" s="1"/>
  <c r="F20" i="14" s="1"/>
  <c r="G20" i="14"/>
  <c r="F21" i="7"/>
  <c r="J3" i="1" l="1"/>
  <c r="H3" i="1"/>
  <c r="H20" i="14"/>
  <c r="BC20" i="14"/>
  <c r="BX20" i="14" s="1"/>
  <c r="AJ20" i="14"/>
  <c r="BE20" i="14" s="1"/>
  <c r="BZ20" i="14" s="1"/>
  <c r="BC34" i="14"/>
  <c r="BX34" i="14" s="1"/>
  <c r="AA34" i="14"/>
  <c r="F34" i="14" l="1"/>
  <c r="H34" i="14" s="1"/>
  <c r="AV34" i="14"/>
  <c r="BQ34" i="14" s="1"/>
</calcChain>
</file>

<file path=xl/comments1.xml><?xml version="1.0" encoding="utf-8"?>
<comments xmlns="http://schemas.openxmlformats.org/spreadsheetml/2006/main">
  <authors>
    <author>Dominic</author>
  </authors>
  <commentList>
    <comment ref="D9" author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Myhre, G., D. Shindell, F.-M. Bréon, W. Collins, J. Fuglestvedt, J. Huang, D. Koch, J.-F. Lamarque, D. Lee, B. Mendoza, T. Nakajima, A. Robock, G. Stephens, T. Takemura and H. Zhang (2013) "Anthropogenic and Natural Radiative Forcing". In: Climate Change 2013: The Physical Science Basis. Contribution of Working Group I to the Fifth Assessment Report of the Intergovernmental Panel on Climate Change. Stocker, T.F., D. Qin, G.-K. Plattner, M. Tignor, S.K. Allen, J. Boschung, A. Nauels, Y. Xia, V. Bex and P.M. Midgley (eds.). Cambridge University Press, Cambridge, United Kingdom and New York, NY, USA. </t>
        </r>
      </text>
    </comment>
    <comment ref="D18" authorId="0">
      <text>
        <r>
          <rPr>
            <b/>
            <sz val="9"/>
            <color indexed="81"/>
            <rFont val="Tahoma"/>
            <family val="2"/>
          </rPr>
          <t xml:space="preserve">Dominic:
</t>
        </r>
        <r>
          <rPr>
            <sz val="9"/>
            <color indexed="81"/>
            <rFont val="Tahoma"/>
            <family val="2"/>
          </rPr>
          <t xml:space="preserve">
based on average base:ash ratio of straw, wood,husk,shell,plant from phyllis 2.</t>
        </r>
      </text>
    </comment>
  </commentList>
</comments>
</file>

<file path=xl/comments2.xml><?xml version="1.0" encoding="utf-8"?>
<comments xmlns="http://schemas.openxmlformats.org/spreadsheetml/2006/main">
  <authors>
    <author>Dominic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cancels out of equation in opportunity cost</t>
        </r>
      </text>
    </comment>
    <comment ref="AO34" author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capture cost plus storage cost</t>
        </r>
      </text>
    </comment>
    <comment ref="AP34" author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capture cost plus storage cost</t>
        </r>
      </text>
    </comment>
    <comment ref="BJ34" author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capture cost plus storage cost</t>
        </r>
      </text>
    </comment>
    <comment ref="BK34" author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capture cost plus storage cost</t>
        </r>
      </text>
    </comment>
  </commentList>
</comments>
</file>

<file path=xl/comments3.xml><?xml version="1.0" encoding="utf-8"?>
<comments xmlns="http://schemas.openxmlformats.org/spreadsheetml/2006/main">
  <authors>
    <author>Dominic</author>
  </authors>
  <commentList>
    <comment ref="C10" author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cancels out of equation in opportunity cost</t>
        </r>
      </text>
    </comment>
  </commentList>
</comments>
</file>

<file path=xl/comments4.xml><?xml version="1.0" encoding="utf-8"?>
<comments xmlns="http://schemas.openxmlformats.org/spreadsheetml/2006/main">
  <authors>
    <author>Dominic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check basis for efficiency reduction.  Most sources use a percentage to deduct from LHV efficiency (not a multiplier)</t>
        </r>
      </text>
    </comment>
  </commentList>
</comments>
</file>

<file path=xl/comments5.xml><?xml version="1.0" encoding="utf-8"?>
<comments xmlns="http://schemas.openxmlformats.org/spreadsheetml/2006/main">
  <authors>
    <author>Dominic</author>
  </authors>
  <commentList>
    <comment ref="J26" author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in perputuity, with discount rate and decomposition rate
</t>
        </r>
      </text>
    </comment>
    <comment ref="J29" author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CCE eq. from Field 2013
bc base cations calculated from biomass ash and bases, assuming conservation of both during pyrolysis</t>
        </r>
      </text>
    </comment>
    <comment ref="G93" author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assume N is mineralised and made inert during pyrolysis
</t>
        </r>
      </text>
    </comment>
  </commentList>
</comments>
</file>

<file path=xl/sharedStrings.xml><?xml version="1.0" encoding="utf-8"?>
<sst xmlns="http://schemas.openxmlformats.org/spreadsheetml/2006/main" count="1212" uniqueCount="628">
  <si>
    <t>BEBCS</t>
  </si>
  <si>
    <t xml:space="preserve">biochar grain yield impact </t>
  </si>
  <si>
    <t>discount rate</t>
  </si>
  <si>
    <t>life time of plant</t>
  </si>
  <si>
    <t>N2O feedback factor</t>
  </si>
  <si>
    <t>SOC feedback factor</t>
  </si>
  <si>
    <t>C intensity</t>
  </si>
  <si>
    <t>carbon price</t>
  </si>
  <si>
    <t>yr</t>
  </si>
  <si>
    <t>Mg/ha</t>
  </si>
  <si>
    <t>$/Mg</t>
  </si>
  <si>
    <t>$/GJ</t>
  </si>
  <si>
    <t>Mg C / GJ</t>
  </si>
  <si>
    <t>annuity factor</t>
  </si>
  <si>
    <t>capital cost of pyrolysis</t>
  </si>
  <si>
    <t>BECCS</t>
  </si>
  <si>
    <t>BES</t>
  </si>
  <si>
    <t>consider also includin FF + CCS scenario</t>
  </si>
  <si>
    <t>Mean</t>
  </si>
  <si>
    <t>Pyro temp</t>
  </si>
  <si>
    <t>deg C</t>
  </si>
  <si>
    <t>labile half life</t>
  </si>
  <si>
    <t>labile fraction</t>
  </si>
  <si>
    <t>FF C offset</t>
  </si>
  <si>
    <t>$/(Mg f/yr)</t>
  </si>
  <si>
    <t>Mg C / Mg f</t>
  </si>
  <si>
    <t>GJ / Mg f</t>
  </si>
  <si>
    <t>electricity gen efficiency</t>
  </si>
  <si>
    <t>biomass water content</t>
  </si>
  <si>
    <t>biomass lignin fraction</t>
  </si>
  <si>
    <t>BEBCS calculations</t>
  </si>
  <si>
    <t>BC C</t>
  </si>
  <si>
    <t>BC H</t>
  </si>
  <si>
    <t>BC O</t>
  </si>
  <si>
    <t>BC yield</t>
  </si>
  <si>
    <t>heat loss from plant</t>
  </si>
  <si>
    <t>heat loss from biochar</t>
  </si>
  <si>
    <t>heat loss from biooil</t>
  </si>
  <si>
    <t>heat loss from gas</t>
  </si>
  <si>
    <t>Biooil yield</t>
  </si>
  <si>
    <t>Biooil C</t>
  </si>
  <si>
    <t>Biooil H</t>
  </si>
  <si>
    <t>Biooil O</t>
  </si>
  <si>
    <t>H2O yield</t>
  </si>
  <si>
    <t>H2 yield</t>
  </si>
  <si>
    <t>CO yield</t>
  </si>
  <si>
    <t>CO2 yield</t>
  </si>
  <si>
    <t>Uc</t>
  </si>
  <si>
    <t>Uh</t>
  </si>
  <si>
    <t>Uo</t>
  </si>
  <si>
    <t>CH4 yield</t>
  </si>
  <si>
    <t>C2H4 yield</t>
  </si>
  <si>
    <t>biochar HHV</t>
  </si>
  <si>
    <t>Bio-oil HHV</t>
  </si>
  <si>
    <t>biomass C</t>
  </si>
  <si>
    <t>biomass H</t>
  </si>
  <si>
    <t>biomass O</t>
  </si>
  <si>
    <t>vessel length:radius aspect ratio</t>
  </si>
  <si>
    <t>outer surface temperature</t>
  </si>
  <si>
    <t>GJ/ Mg f</t>
  </si>
  <si>
    <t>exhaust temperature</t>
  </si>
  <si>
    <t>heat loss from h2o</t>
  </si>
  <si>
    <t>syngas HHV (MJ/kg)</t>
  </si>
  <si>
    <t>gas yield</t>
  </si>
  <si>
    <t>biochar C yield</t>
  </si>
  <si>
    <t>GJ / Mg</t>
  </si>
  <si>
    <t>Yields</t>
  </si>
  <si>
    <t>Energy</t>
  </si>
  <si>
    <t>Economics</t>
  </si>
  <si>
    <t>$/Mg f</t>
  </si>
  <si>
    <t>annualised capital</t>
  </si>
  <si>
    <t>Feed bulk density</t>
  </si>
  <si>
    <t xml:space="preserve"> kg/m^3</t>
  </si>
  <si>
    <t xml:space="preserve">feed rate </t>
  </si>
  <si>
    <t>kg/hr</t>
  </si>
  <si>
    <t xml:space="preserve">daf feed rate </t>
  </si>
  <si>
    <t xml:space="preserve">residence time </t>
  </si>
  <si>
    <t>hr</t>
  </si>
  <si>
    <t>vessel volume</t>
  </si>
  <si>
    <t>m^3</t>
  </si>
  <si>
    <t>vessel internal radius</t>
  </si>
  <si>
    <t>m</t>
  </si>
  <si>
    <t>wall thickness</t>
  </si>
  <si>
    <t>insulation thickness</t>
  </si>
  <si>
    <t xml:space="preserve">CaSiO insul.themal cond. </t>
  </si>
  <si>
    <t>W/m K</t>
  </si>
  <si>
    <t>vessel length</t>
  </si>
  <si>
    <t>Vessel surface area</t>
  </si>
  <si>
    <t xml:space="preserve"> m^2</t>
  </si>
  <si>
    <t>C</t>
  </si>
  <si>
    <t>kW</t>
  </si>
  <si>
    <t>heat loss rate from plant</t>
  </si>
  <si>
    <t xml:space="preserve">biochar cp </t>
  </si>
  <si>
    <t>biochar cp</t>
  </si>
  <si>
    <t xml:space="preserve">Bio-oil delta-H vap </t>
  </si>
  <si>
    <t xml:space="preserve">Bio-oil cp </t>
  </si>
  <si>
    <t xml:space="preserve">Syngas cp </t>
  </si>
  <si>
    <t xml:space="preserve">syngas cp </t>
  </si>
  <si>
    <t>J/mol K</t>
  </si>
  <si>
    <t>GJ/Mg f</t>
  </si>
  <si>
    <t>Total heat loss</t>
  </si>
  <si>
    <t>GJ / Mg daf</t>
  </si>
  <si>
    <t>Heat supply to pyrolysis</t>
  </si>
  <si>
    <t>MJ/Mg K</t>
  </si>
  <si>
    <t>GJ / Mg K</t>
  </si>
  <si>
    <t>MJ / Mg K</t>
  </si>
  <si>
    <t>heater efficiency</t>
  </si>
  <si>
    <t>heat source code</t>
  </si>
  <si>
    <t>heat fuel required</t>
  </si>
  <si>
    <t>Mg</t>
  </si>
  <si>
    <t>H2O from biomass</t>
  </si>
  <si>
    <t>total H2O</t>
  </si>
  <si>
    <t>net biochar yield after heat supply</t>
  </si>
  <si>
    <t>Mg / Mg f</t>
  </si>
  <si>
    <t>Parasitic power</t>
  </si>
  <si>
    <t>Parasitic fuel required</t>
  </si>
  <si>
    <t>NB add a further 0.53 GJ/Mg for comminution if woody feedstock used</t>
  </si>
  <si>
    <t>Total fuel required</t>
  </si>
  <si>
    <t>net comb H in biofuel after energy supply</t>
  </si>
  <si>
    <t>Soil</t>
  </si>
  <si>
    <t>Timeframe</t>
  </si>
  <si>
    <t>rebound factor</t>
  </si>
  <si>
    <t>O:C molar</t>
  </si>
  <si>
    <t>O:C molar (field)</t>
  </si>
  <si>
    <t>Pyrolysis temperature
Process energy source</t>
  </si>
  <si>
    <t>recalcitrant half life (spokas +field O:C)</t>
  </si>
  <si>
    <t>C abatement</t>
  </si>
  <si>
    <t>C credits</t>
  </si>
  <si>
    <t>$ / Mg f</t>
  </si>
  <si>
    <t>npSOC feedback</t>
  </si>
  <si>
    <t>Mg SOC / Mg f</t>
  </si>
  <si>
    <t>N2O feedback</t>
  </si>
  <si>
    <t>unamended N additions</t>
  </si>
  <si>
    <t>Mg Ce / Mg f</t>
  </si>
  <si>
    <t>N2O GWP</t>
  </si>
  <si>
    <t>unamended N2O-N emissions</t>
  </si>
  <si>
    <t>amended N2O-N emissions</t>
  </si>
  <si>
    <t>application rate</t>
  </si>
  <si>
    <t>reduced N2O-N emissions</t>
  </si>
  <si>
    <t>years of N2O effect</t>
  </si>
  <si>
    <t>kg/ha/yr</t>
  </si>
  <si>
    <t>biochar revenue</t>
  </si>
  <si>
    <t>fuel revenue</t>
  </si>
  <si>
    <t>total revenue</t>
  </si>
  <si>
    <t>recalcitrant half life (field + woolf O:C)</t>
  </si>
  <si>
    <t>BEBCS:</t>
  </si>
  <si>
    <t>improve decomposition with 2 pool model.  Need to calculate labile fraction to do this</t>
  </si>
  <si>
    <t>Improve N2O feedback by tying to decomposition of biochar</t>
  </si>
  <si>
    <t>Improve priming feed back by tying to recalcitrant bc remaining in soil.</t>
  </si>
  <si>
    <t>Improve bc decomposition by including environmental (T &amp; moisture) controls on rate</t>
  </si>
  <si>
    <t>SOC</t>
  </si>
  <si>
    <t>%</t>
  </si>
  <si>
    <t>Soil bulk density</t>
  </si>
  <si>
    <t>Rhizosphere depth</t>
  </si>
  <si>
    <t>Mg/m3</t>
  </si>
  <si>
    <t>value of crop yield increment</t>
  </si>
  <si>
    <t>$ / Mg bc</t>
  </si>
  <si>
    <t>CH4 GWP</t>
  </si>
  <si>
    <t>BC ash</t>
  </si>
  <si>
    <t>biomass ash content</t>
  </si>
  <si>
    <t>calcium carbonate equivalence</t>
  </si>
  <si>
    <t>biomass base cations</t>
  </si>
  <si>
    <t>aglime price</t>
  </si>
  <si>
    <t>liming economic value</t>
  </si>
  <si>
    <t>operation and maintenance</t>
  </si>
  <si>
    <t>Net value</t>
  </si>
  <si>
    <t>Costs</t>
  </si>
  <si>
    <t>Revenues</t>
  </si>
  <si>
    <t>Cost-benefit</t>
  </si>
  <si>
    <t>biomass cost</t>
  </si>
  <si>
    <t>$/ Mg f</t>
  </si>
  <si>
    <t>total costs</t>
  </si>
  <si>
    <t>Opportunity cost</t>
  </si>
  <si>
    <t>conversion efficiency</t>
  </si>
  <si>
    <t>Units</t>
  </si>
  <si>
    <t>Time</t>
  </si>
  <si>
    <t>Economic</t>
  </si>
  <si>
    <t>Biomass</t>
  </si>
  <si>
    <t>Category</t>
  </si>
  <si>
    <t>Parameter</t>
  </si>
  <si>
    <t>Min</t>
  </si>
  <si>
    <t>Max</t>
  </si>
  <si>
    <t>GHG feedbacks</t>
  </si>
  <si>
    <t>Pyrolysis</t>
  </si>
  <si>
    <t>Common</t>
  </si>
  <si>
    <t>Reference (FF)</t>
  </si>
  <si>
    <t>GHGs</t>
  </si>
  <si>
    <t>Value</t>
  </si>
  <si>
    <t>efficiency penalty (rel BES)</t>
  </si>
  <si>
    <t>life time of plant ratio to BES</t>
  </si>
  <si>
    <t>CO2 sequestration fraction</t>
  </si>
  <si>
    <t>recalcitrant half life (spokas + woolf O:C)</t>
  </si>
  <si>
    <t>combustion H in gas</t>
  </si>
  <si>
    <t>combustion H in bioil</t>
  </si>
  <si>
    <t>combustion H in biochar</t>
  </si>
  <si>
    <t>combustion H in fuel (gas + volatiles)</t>
  </si>
  <si>
    <t>CO2-C sequestered</t>
  </si>
  <si>
    <t>OC-adjusted NV</t>
  </si>
  <si>
    <t>OC-adjusted net value</t>
  </si>
  <si>
    <t>FF</t>
  </si>
  <si>
    <t>monte carlo simulations</t>
  </si>
  <si>
    <t>Symbol</t>
  </si>
  <si>
    <t>disc_rate</t>
  </si>
  <si>
    <t>lime_price</t>
  </si>
  <si>
    <t>c_price</t>
  </si>
  <si>
    <t>rebound</t>
  </si>
  <si>
    <t>c_intensity</t>
  </si>
  <si>
    <t>bes_cc</t>
  </si>
  <si>
    <t>bes_life</t>
  </si>
  <si>
    <t>bes_eff</t>
  </si>
  <si>
    <t>py_temp</t>
  </si>
  <si>
    <t>py_e_source</t>
  </si>
  <si>
    <t>py_elec_eff</t>
  </si>
  <si>
    <t>bebcstobe_life_ratio</t>
  </si>
  <si>
    <t>n2o_factor</t>
  </si>
  <si>
    <t>n2o_years</t>
  </si>
  <si>
    <t>soc_factor</t>
  </si>
  <si>
    <t>soc</t>
  </si>
  <si>
    <t>app_rate</t>
  </si>
  <si>
    <t>bc_yield_impact</t>
  </si>
  <si>
    <t>beccs_eff_penalty</t>
  </si>
  <si>
    <t>S.D</t>
  </si>
  <si>
    <t>Distribution</t>
  </si>
  <si>
    <t>valid distribution codes:</t>
  </si>
  <si>
    <t>flat</t>
  </si>
  <si>
    <t>normal</t>
  </si>
  <si>
    <t>lognormal</t>
  </si>
  <si>
    <t>Statistics</t>
  </si>
  <si>
    <t>Direct GHG abatement</t>
  </si>
  <si>
    <t>Soil effects GHG abatement</t>
  </si>
  <si>
    <t>n_app_rate</t>
  </si>
  <si>
    <t>BECCS available</t>
  </si>
  <si>
    <t>logic</t>
  </si>
  <si>
    <t>boolean values</t>
  </si>
  <si>
    <t>Technology</t>
  </si>
  <si>
    <t>beccs_seq_fraction</t>
  </si>
  <si>
    <t>Entire operating space</t>
  </si>
  <si>
    <t>Scenario name:</t>
  </si>
  <si>
    <t>Scenario description:</t>
  </si>
  <si>
    <t>Notes</t>
  </si>
  <si>
    <t>Also include GHG associated with biomass production.  Could be positive or negative (avoided emissions e.g. methane.  Actual emissions e.g. fuel for harvest and transport)</t>
  </si>
  <si>
    <t xml:space="preserve">Nordhaus and Weitzman argue 6%, Stern and Cline suggest 0 to 1.5% </t>
  </si>
  <si>
    <t>https://www.ipcc.ch/pdf/special-reports/srccs/srccs_chapter8.pdf</t>
  </si>
  <si>
    <t>IPCC data</t>
  </si>
  <si>
    <t>Power plant with capture</t>
  </si>
  <si>
    <t>Table 8.3a, p347</t>
  </si>
  <si>
    <t>RCP 430-480 2020</t>
  </si>
  <si>
    <t>RCP 430-480 2050</t>
  </si>
  <si>
    <t>RCP 430-480 2100</t>
  </si>
  <si>
    <t xml:space="preserve">IPCC Clarke,et al. Chapter 6: Assessing Transformation Pathways. In Climate Change 2014: Mitigation of Climate Change. Contribution of Working Group III to the Fifth Assessment Report of the Intergovernmental Panel on Climate Change
</t>
  </si>
  <si>
    <t>discrete</t>
  </si>
  <si>
    <t>FF offset / bioenergy produced</t>
  </si>
  <si>
    <t>3 -- 5% above current. min=maize, max = rice. based on 3 top cereals</t>
  </si>
  <si>
    <t>3 -- 84% above current</t>
  </si>
  <si>
    <t>2014 coal to gas prices (www.eia.gov) increased linearly at 2% pa (EnerFuture : Long Term Energy Scenarios)</t>
  </si>
  <si>
    <t>Cost of electricity without CCS `(US$ MWh -1 )</t>
  </si>
  <si>
    <t xml:space="preserve"> `43-52 </t>
  </si>
  <si>
    <t xml:space="preserve">`31-50 </t>
  </si>
  <si>
    <t>`41-61</t>
  </si>
  <si>
    <t xml:space="preserve">Increased Fuel Requirement (%) </t>
  </si>
  <si>
    <t xml:space="preserve">24-40 </t>
  </si>
  <si>
    <t>14-25</t>
  </si>
  <si>
    <t xml:space="preserve">CO 2  captured (kg MWh -1 ) </t>
  </si>
  <si>
    <t xml:space="preserve">820-970 </t>
  </si>
  <si>
    <t xml:space="preserve">360-410 </t>
  </si>
  <si>
    <t>670-940</t>
  </si>
  <si>
    <t xml:space="preserve">CO 2  avoided (kg MWh -1 ) </t>
  </si>
  <si>
    <t xml:space="preserve">620-700 </t>
  </si>
  <si>
    <t xml:space="preserve">300-320 </t>
  </si>
  <si>
    <t>590-730</t>
  </si>
  <si>
    <t xml:space="preserve">% CO 2  avoided </t>
  </si>
  <si>
    <t>81-88</t>
  </si>
  <si>
    <t xml:space="preserve">83-88 </t>
  </si>
  <si>
    <t>81-91</t>
  </si>
  <si>
    <t xml:space="preserve">Power plant with capture and geological storage </t>
  </si>
  <si>
    <t xml:space="preserve">Cost of electricity (US$ MWh -1 ) </t>
  </si>
  <si>
    <t xml:space="preserve">63-99 </t>
  </si>
  <si>
    <t xml:space="preserve">43-77 </t>
  </si>
  <si>
    <t>55-91</t>
  </si>
  <si>
    <t xml:space="preserve">Electricity cost increase (US$ MWh -1 ) </t>
  </si>
  <si>
    <t xml:space="preserve">19-47 </t>
  </si>
  <si>
    <t xml:space="preserve">% increase </t>
  </si>
  <si>
    <t xml:space="preserve">43-91 </t>
  </si>
  <si>
    <t xml:space="preserve">37-85 </t>
  </si>
  <si>
    <t>21-78</t>
  </si>
  <si>
    <t xml:space="preserve">Mitigation cost (US$/tCO 2  avoided) </t>
  </si>
  <si>
    <t xml:space="preserve">30-71 </t>
  </si>
  <si>
    <t xml:space="preserve">38-91 </t>
  </si>
  <si>
    <t>14-53</t>
  </si>
  <si>
    <t xml:space="preserve">Mitigation cost (US$/tC avoided) </t>
  </si>
  <si>
    <t xml:space="preserve">110-260 </t>
  </si>
  <si>
    <t xml:space="preserve">140-330 </t>
  </si>
  <si>
    <t>51-200</t>
  </si>
  <si>
    <t>Coal IGCC</t>
  </si>
  <si>
    <t>Pulverized Coal</t>
  </si>
  <si>
    <t>Natural Gas</t>
  </si>
  <si>
    <t>Type of power plant</t>
  </si>
  <si>
    <t>BEBCS_soil_GHG</t>
  </si>
  <si>
    <t>bc_price</t>
  </si>
  <si>
    <t>figure prob ok. but need reference</t>
  </si>
  <si>
    <t xml:space="preserve">Mitigation cost (US$/tC captured) </t>
  </si>
  <si>
    <t>lo</t>
  </si>
  <si>
    <t>hi</t>
  </si>
  <si>
    <t xml:space="preserve">Mitigation cost (US$/tCO2 captured) </t>
  </si>
  <si>
    <t xml:space="preserve"> cost of ccs</t>
  </si>
  <si>
    <t>ccs_cost</t>
  </si>
  <si>
    <t>$/Mg C captured</t>
  </si>
  <si>
    <t>Present 2014</t>
  </si>
  <si>
    <t>nominal mimimum carbon price, due to log(0) error if set to 0</t>
  </si>
  <si>
    <t>coal C</t>
  </si>
  <si>
    <t>coal e</t>
  </si>
  <si>
    <t>GJ/Mg</t>
  </si>
  <si>
    <t>GJ/Mg C</t>
  </si>
  <si>
    <t>coal c intensity</t>
  </si>
  <si>
    <t>Mg C/GJ</t>
  </si>
  <si>
    <t>energy from biomass</t>
  </si>
  <si>
    <t>GJ?mg f</t>
  </si>
  <si>
    <t>avoided coal c</t>
  </si>
  <si>
    <t>Mg C / Mg C</t>
  </si>
  <si>
    <t>operation &amp; maintenance factor</t>
  </si>
  <si>
    <t>(annual O&amp;M / annualized capital cost)</t>
  </si>
  <si>
    <t>BES annualised capital</t>
  </si>
  <si>
    <t>ccs cost</t>
  </si>
  <si>
    <t>check that ccs cost includes o&amp;m</t>
  </si>
  <si>
    <t>split cc into pyrolysis and bioenergy</t>
  </si>
  <si>
    <t xml:space="preserve">*Co-firing costs relate only to the investment in additional systems needed for handling the biomass fuels, with no contribution to the </t>
  </si>
  <si>
    <t>costs of the coal-fired plant itself. Efficiencies refer to a plant without CCS.</t>
  </si>
  <si>
    <t>Source: IEA analysis based on DECC (2011), IPCC (2011), Mott MacDonald (2011), Uslu et al. (2012).</t>
  </si>
  <si>
    <t>Source:</t>
  </si>
  <si>
    <t>&lt;10</t>
  </si>
  <si>
    <t>&gt;50</t>
  </si>
  <si>
    <t>14-18</t>
  </si>
  <si>
    <t>18-33</t>
  </si>
  <si>
    <t>28-40</t>
  </si>
  <si>
    <t>35-39</t>
  </si>
  <si>
    <t>300-700</t>
  </si>
  <si>
    <t>5.5-6.5</t>
  </si>
  <si>
    <t>2.5-3.5</t>
  </si>
  <si>
    <t>Table 1: Overview of bioenergy power plant conversion efficiencies and cost components</t>
  </si>
  <si>
    <t>Co-firing</t>
  </si>
  <si>
    <t>10--50</t>
  </si>
  <si>
    <t>Typical power generation efficiency (%)</t>
  </si>
  <si>
    <t>Capital costs (USD/kW)</t>
  </si>
  <si>
    <t>6 000-9 800</t>
  </si>
  <si>
    <t>3 900-5 800</t>
  </si>
  <si>
    <t xml:space="preserve"> 2 400-4 200 </t>
  </si>
  <si>
    <t>Operating costs (% of capital costs)</t>
  </si>
  <si>
    <t>5-6</t>
  </si>
  <si>
    <t>3-5</t>
  </si>
  <si>
    <t>16-20</t>
  </si>
  <si>
    <t>23-38</t>
  </si>
  <si>
    <t>33-45</t>
  </si>
  <si>
    <t>Retrieved from http://www.iea.org/publications/freepublications/publication/bioenergy.pdf</t>
  </si>
  <si>
    <r>
      <t xml:space="preserve">IEA (2012). </t>
    </r>
    <r>
      <rPr>
        <i/>
        <sz val="11"/>
        <color theme="1"/>
        <rFont val="Calibri"/>
        <family val="2"/>
        <scheme val="minor"/>
      </rPr>
      <t>Technology Roadmap: Bioenergy for Heat and Power</t>
    </r>
    <r>
      <rPr>
        <sz val="11"/>
        <color theme="1"/>
        <rFont val="Calibri"/>
        <family val="2"/>
        <scheme val="minor"/>
      </rPr>
      <t xml:space="preserve">. Paris, France. </t>
    </r>
  </si>
  <si>
    <t>4 800-7 800</t>
  </si>
  <si>
    <t xml:space="preserve"> 3 100-4 600  </t>
  </si>
  <si>
    <t xml:space="preserve"> 1 900-3 400  </t>
  </si>
  <si>
    <t xml:space="preserve"> 300-700</t>
  </si>
  <si>
    <t>Capacity (MW)</t>
  </si>
  <si>
    <t>Coal costs to calculate total Co-firing cost</t>
  </si>
  <si>
    <t>Co-firing (incl. coal plant cost)</t>
  </si>
  <si>
    <t>low 
(dual unit advanced PC)</t>
  </si>
  <si>
    <t>High 
(single unit advance pc)</t>
  </si>
  <si>
    <t>3200-4000</t>
  </si>
  <si>
    <r>
      <t xml:space="preserve">EIA. (2013). </t>
    </r>
    <r>
      <rPr>
        <i/>
        <sz val="11"/>
        <color theme="1"/>
        <rFont val="Calibri"/>
        <family val="2"/>
        <scheme val="minor"/>
      </rPr>
      <t>Updated Capital Cost Estimates for Utility Scale Electricity Generating Plants</t>
    </r>
    <r>
      <rPr>
        <sz val="11"/>
        <color theme="1"/>
        <rFont val="Calibri"/>
        <family val="2"/>
        <scheme val="minor"/>
      </rPr>
      <t>. U.S. Energy Information Administration (EIA). Retrieved from http://www.eia.gov/forecasts/capitalcost/pdf/updated_capcost.pdf</t>
    </r>
  </si>
  <si>
    <t>low</t>
  </si>
  <si>
    <t>high</t>
  </si>
  <si>
    <t>low co-firing</t>
  </si>
  <si>
    <t>high co-firing</t>
  </si>
  <si>
    <t>utility-scale biomass energy capital cost range estimates</t>
  </si>
  <si>
    <t>Capital + cofiring cost</t>
  </si>
  <si>
    <t>kJ/yr</t>
  </si>
  <si>
    <t>GJ/yr</t>
  </si>
  <si>
    <t>capacity factor</t>
  </si>
  <si>
    <t>$/kW fuel capacity</t>
  </si>
  <si>
    <t>Mg/hr</t>
  </si>
  <si>
    <t>feedstock</t>
  </si>
  <si>
    <t>Mg/yr</t>
  </si>
  <si>
    <t>$</t>
  </si>
  <si>
    <t>pyro capital cost</t>
  </si>
  <si>
    <t>generation capital cost</t>
  </si>
  <si>
    <t>total capital cost</t>
  </si>
  <si>
    <t>$/(Mg/yr)</t>
  </si>
  <si>
    <t>McCarl et al. (2009):</t>
  </si>
  <si>
    <t>cc in 160-600 range (Woolf et al. 2012, ncomms)</t>
  </si>
  <si>
    <t>=</t>
  </si>
  <si>
    <t xml:space="preserve">(Mg/yr) / kW = </t>
  </si>
  <si>
    <t xml:space="preserve">kW / (Mg/yr) = </t>
  </si>
  <si>
    <t>kW fuel</t>
  </si>
  <si>
    <t>$/ (Mg fuel per year)</t>
  </si>
  <si>
    <t>Low end of range (2020)</t>
  </si>
  <si>
    <t>High end of range (2020)</t>
  </si>
  <si>
    <t>Low end of range (2030)</t>
  </si>
  <si>
    <t>High end of range (2030)</t>
  </si>
  <si>
    <t>Low end of range (2050)</t>
  </si>
  <si>
    <t>High end of range (2050)</t>
  </si>
  <si>
    <t>Low end of range (2100)</t>
  </si>
  <si>
    <t>High end of range (2100)</t>
  </si>
  <si>
    <t>Low end of range (2012)</t>
  </si>
  <si>
    <t>High end of range (2012)</t>
  </si>
  <si>
    <t>capital cost</t>
  </si>
  <si>
    <t>see BES sheet for methods. Based on IEA data</t>
  </si>
  <si>
    <t>Bridgewater:</t>
  </si>
  <si>
    <t>capital cost of pyrolysis or igcc power plant is 20 to 70% higher (per kWe) than combustion system</t>
  </si>
  <si>
    <t>electricity output per Mg biomass</t>
  </si>
  <si>
    <t>GJe / Mg f</t>
  </si>
  <si>
    <t>Conversion from Mg biomass to kWe:</t>
  </si>
  <si>
    <t>Mg f /yr</t>
  </si>
  <si>
    <t>GJe / yr</t>
  </si>
  <si>
    <t>kWe Capacity</t>
  </si>
  <si>
    <t>utility-scale bebcs with power capital cost range estimates</t>
  </si>
  <si>
    <t>$/kWe  capacity</t>
  </si>
  <si>
    <t>$/kWe capacity</t>
  </si>
  <si>
    <t>low (2012)</t>
  </si>
  <si>
    <t>high (2012)</t>
  </si>
  <si>
    <t>bebcs_cc</t>
  </si>
  <si>
    <t>GJ</t>
  </si>
  <si>
    <t>$/MWh</t>
  </si>
  <si>
    <t>Mwh</t>
  </si>
  <si>
    <t>Mj</t>
  </si>
  <si>
    <t>FF elec efficiency</t>
  </si>
  <si>
    <t>ff_eff</t>
  </si>
  <si>
    <t>electricity production</t>
  </si>
  <si>
    <t>convert elec prices from $/MWh to $/GJ</t>
  </si>
  <si>
    <t>electricity price</t>
  </si>
  <si>
    <t>elec_price</t>
  </si>
  <si>
    <t>Biochar Haulage costs</t>
  </si>
  <si>
    <t>$/Mg bc</t>
  </si>
  <si>
    <t>residue demand</t>
  </si>
  <si>
    <t>ha</t>
  </si>
  <si>
    <t>residue total land area</t>
  </si>
  <si>
    <t>km^2</t>
  </si>
  <si>
    <t>km</t>
  </si>
  <si>
    <t>$/ Mg-km</t>
  </si>
  <si>
    <t>plant size</t>
  </si>
  <si>
    <t>cropland density</t>
  </si>
  <si>
    <t>ha/ha</t>
  </si>
  <si>
    <t>biochar application rate</t>
  </si>
  <si>
    <t>MW</t>
  </si>
  <si>
    <t>low end 
estimate</t>
  </si>
  <si>
    <t>high end 
estimate</t>
  </si>
  <si>
    <t>biochar production</t>
  </si>
  <si>
    <t>biochar cropland area</t>
  </si>
  <si>
    <t>residue energy demand</t>
  </si>
  <si>
    <t>Mg/ha-yr</t>
  </si>
  <si>
    <t>haulage cost</t>
  </si>
  <si>
    <t>haulage emissions</t>
  </si>
  <si>
    <t>$/Mg-km</t>
  </si>
  <si>
    <t>Mg C/ Mg f</t>
  </si>
  <si>
    <t>mean rectilinear distance</t>
  </si>
  <si>
    <t>McCarl (assumes 14.8km mean rectilinear distance):</t>
  </si>
  <si>
    <t>MgCO2/Mgf</t>
  </si>
  <si>
    <t>biochar haulage cost</t>
  </si>
  <si>
    <t>bc_haul_cost</t>
  </si>
  <si>
    <t>elec revenue</t>
  </si>
  <si>
    <t>GJ / GJ f</t>
  </si>
  <si>
    <t>IEA (2010). Projected Costs of Generating Electricity</t>
  </si>
  <si>
    <t>Levelised cost of electricity generation</t>
  </si>
  <si>
    <t>High</t>
  </si>
  <si>
    <t>Low</t>
  </si>
  <si>
    <t>c/kWh</t>
  </si>
  <si>
    <t>IEA (2010) LCOE.  Increased linearly at 2% pa (EnerFuture : Long Term Energy Scenarios)</t>
  </si>
  <si>
    <t>BES_NPV</t>
  </si>
  <si>
    <t>BEBCS_NPV</t>
  </si>
  <si>
    <t>Results directory</t>
  </si>
  <si>
    <t>Scenario</t>
  </si>
  <si>
    <t>Name</t>
  </si>
  <si>
    <t>op_space</t>
  </si>
  <si>
    <t>Scenario Name</t>
  </si>
  <si>
    <t>good but needs reference</t>
  </si>
  <si>
    <t>Woolf &amp; lehmann biogeogemistry</t>
  </si>
  <si>
    <t>kg N/ha/yr</t>
  </si>
  <si>
    <t xml:space="preserve">kg N/ Mg f </t>
  </si>
  <si>
    <t>median</t>
  </si>
  <si>
    <t>IPCC AR5 WG3, ch 7 energy systems. Fig7.14, p560</t>
  </si>
  <si>
    <t>fraction of primary energy from low-C sources</t>
  </si>
  <si>
    <t>low quartile</t>
  </si>
  <si>
    <t>upper quartile</t>
  </si>
  <si>
    <t>Optional Variants:</t>
  </si>
  <si>
    <t>C intensity varies with time</t>
  </si>
  <si>
    <t>C intesity is full range throughout</t>
  </si>
  <si>
    <t>IPCC AR5 WG3, ch 7 energy systems. Fig7.7, p541</t>
  </si>
  <si>
    <t>Reference Energy System</t>
  </si>
  <si>
    <t>high quartile</t>
  </si>
  <si>
    <t>lower quartile</t>
  </si>
  <si>
    <t>C intensity (Mg C / Gje) of electricity production</t>
  </si>
  <si>
    <t>IQR</t>
  </si>
  <si>
    <t>s.d.</t>
  </si>
  <si>
    <t>Flat</t>
  </si>
  <si>
    <t>Log-normal</t>
  </si>
  <si>
    <t>Normal</t>
  </si>
  <si>
    <t>BECCS_NPV</t>
  </si>
  <si>
    <t>Isric wise HWS database http://eusoils.jrc.ec.europa.eu/esdb_archive/eusoils_docs/other/EUR25225.pdf.  85% soils have &lt;2% SOC</t>
  </si>
  <si>
    <t>N2O impact</t>
  </si>
  <si>
    <t>Cayuela et al. 2014 show</t>
  </si>
  <si>
    <t xml:space="preserve"> linear increase in N2O suppression with application rate</t>
  </si>
  <si>
    <t>BC</t>
  </si>
  <si>
    <t>Mg Bc/ha</t>
  </si>
  <si>
    <t>% N2O / (Mg/ha)</t>
  </si>
  <si>
    <t>mean</t>
  </si>
  <si>
    <t>(up to a maximum of 80% reduction)</t>
  </si>
  <si>
    <t>10% +/-3% N2O reduction per %BC in soil</t>
  </si>
  <si>
    <t>%n2o / (Mg/ha)</t>
  </si>
  <si>
    <t>Cayuela 2014</t>
  </si>
  <si>
    <t xml:space="preserve">(kg N/ yr) / Mg bc </t>
  </si>
  <si>
    <t>(kg N/ yr) / Mg f</t>
  </si>
  <si>
    <t>biomass LHV</t>
  </si>
  <si>
    <t>18.74/19.95 conversion factor from HHV to LHV based on mean from phyllis 2 database</t>
  </si>
  <si>
    <t>$/ Mg C</t>
  </si>
  <si>
    <t>$/Mg CO2</t>
  </si>
  <si>
    <t>Convert from IPCC cost per CO2 avoided, to CO2 captured</t>
  </si>
  <si>
    <t>in top 15 cm</t>
  </si>
  <si>
    <t>$/kWe</t>
  </si>
  <si>
    <t>$/kWf</t>
  </si>
  <si>
    <t>biochar haulage CO2</t>
  </si>
  <si>
    <t>bc_haul_co2</t>
  </si>
  <si>
    <t>Mg C / Mgf</t>
  </si>
  <si>
    <t>Mg C / Mg-km</t>
  </si>
  <si>
    <t>time</t>
  </si>
  <si>
    <t>amount</t>
  </si>
  <si>
    <t>rate</t>
  </si>
  <si>
    <t>NPV</t>
  </si>
  <si>
    <t>2020_RCP430</t>
  </si>
  <si>
    <t>2050_RCP430</t>
  </si>
  <si>
    <t>2100_RCP430</t>
  </si>
  <si>
    <t>2020_RCP530</t>
  </si>
  <si>
    <t>2050_RCP530</t>
  </si>
  <si>
    <t>2100_RCP530</t>
  </si>
  <si>
    <t>RCP 530-580 2020</t>
  </si>
  <si>
    <t>RCP 530-580 2050</t>
  </si>
  <si>
    <t>RCP 530-580 2100</t>
  </si>
  <si>
    <t>RCP 650-720 2020</t>
  </si>
  <si>
    <t>RCP 650-720 2050</t>
  </si>
  <si>
    <t>RCP 650-720 2100</t>
  </si>
  <si>
    <t>annual value of crop yield increase</t>
  </si>
  <si>
    <t>$ / yr / Mg bc</t>
  </si>
  <si>
    <t>bm_ash</t>
  </si>
  <si>
    <t>Phyllis straw, wood and bagasse</t>
  </si>
  <si>
    <t>half life</t>
  </si>
  <si>
    <t>bc_stab_fact</t>
  </si>
  <si>
    <t>stability factor</t>
  </si>
  <si>
    <t>biochar NPV</t>
  </si>
  <si>
    <t>C intensity full range</t>
  </si>
  <si>
    <t>min</t>
  </si>
  <si>
    <t>max</t>
  </si>
  <si>
    <t>gCO2/kWh</t>
  </si>
  <si>
    <t>g C/kWh</t>
  </si>
  <si>
    <t>g C/kJe</t>
  </si>
  <si>
    <t>Mg C / kJe</t>
  </si>
  <si>
    <t>Mg C / GJe</t>
  </si>
  <si>
    <t>Mg C / GJf</t>
  </si>
  <si>
    <t>Scenario number</t>
  </si>
  <si>
    <t>2020_RCP650</t>
  </si>
  <si>
    <t>2050_RCP650</t>
  </si>
  <si>
    <t>2100_RCP650</t>
  </si>
  <si>
    <t>biochar field operations</t>
  </si>
  <si>
    <t>bc_field_cost</t>
  </si>
  <si>
    <t>$/ha</t>
  </si>
  <si>
    <t>Biochar field operations</t>
  </si>
  <si>
    <t>transport &amp; field operations</t>
  </si>
  <si>
    <t>P</t>
  </si>
  <si>
    <t>N</t>
  </si>
  <si>
    <t>K</t>
  </si>
  <si>
    <t>Mg/Mg</t>
  </si>
  <si>
    <t>TSP</t>
  </si>
  <si>
    <t>Urea</t>
  </si>
  <si>
    <t>KCl</t>
  </si>
  <si>
    <t>max $/Mg</t>
  </si>
  <si>
    <t>min $/Mg</t>
  </si>
  <si>
    <t>P% in TSP</t>
  </si>
  <si>
    <t>N% in urea</t>
  </si>
  <si>
    <t>K% in KCl</t>
  </si>
  <si>
    <t xml:space="preserve">max </t>
  </si>
  <si>
    <t>$ / Mg P</t>
  </si>
  <si>
    <t>$ / Mg N</t>
  </si>
  <si>
    <t>$/ Mg K</t>
  </si>
  <si>
    <t>Nutrient Value</t>
  </si>
  <si>
    <t>feedstock max mg/kg</t>
  </si>
  <si>
    <t>max value of nutrient $/Mg f</t>
  </si>
  <si>
    <t>total</t>
  </si>
  <si>
    <t>biochar nutrient vlaue</t>
  </si>
  <si>
    <t>bc_nutrient</t>
  </si>
  <si>
    <t>nutrient value</t>
  </si>
  <si>
    <t>$/ Mg bc</t>
  </si>
  <si>
    <t>crop price increase</t>
  </si>
  <si>
    <t>14% above 2050</t>
  </si>
  <si>
    <t>crop_price_increase</t>
  </si>
  <si>
    <t xml:space="preserve"> pre-combustion capture at IGCC power plants using bituminous coals</t>
  </si>
  <si>
    <t>oxy-combustion capture at new SCPC/USC plants using sub-bituminous or bituminous coals</t>
  </si>
  <si>
    <t>Rubin 2015, The cost of CO2 capture and storage</t>
  </si>
  <si>
    <t>post-combustion capture at new NGCC power plants</t>
  </si>
  <si>
    <t>post-combustion capture at SCPC power plants using bituminous coals</t>
  </si>
  <si>
    <t>Percent CO2 reduction</t>
  </si>
  <si>
    <t>Capture energy reqm’t. (% more input/MWh)</t>
  </si>
  <si>
    <t>Table</t>
  </si>
  <si>
    <t>pre-combustion capture at IGCC power plants based on supercritical pulverized coal (SCPC) reference plants using bituminous coals</t>
  </si>
  <si>
    <t>Power plant type</t>
  </si>
  <si>
    <t>All tech</t>
  </si>
  <si>
    <t>distance</t>
  </si>
  <si>
    <t>per tCO2</t>
  </si>
  <si>
    <t>Transport $</t>
  </si>
  <si>
    <t>per tCO2, per 250 km</t>
  </si>
  <si>
    <t>capacity factor adjusted</t>
  </si>
  <si>
    <t>economies of scale adjusted</t>
  </si>
  <si>
    <t>2009 euro</t>
  </si>
  <si>
    <t>2013 $</t>
  </si>
  <si>
    <t>Storage $/Mg CO2</t>
  </si>
  <si>
    <t>Total CCS system costs</t>
  </si>
  <si>
    <t>$/ tCO2 captured</t>
  </si>
  <si>
    <t>$ / t C captured</t>
  </si>
  <si>
    <t>C:\Users\Dominic\Box Sync\Articles\operating space\Nat Comm\Post review\calcs\</t>
  </si>
  <si>
    <t>capital cost of plant is 30-121% higher with CCS (Rubin2015)</t>
  </si>
  <si>
    <t>mean CC increase</t>
  </si>
  <si>
    <t>representative values for CC increase of plant</t>
  </si>
  <si>
    <t>NB we use BES fuel revenue, because cost of CCS energy is already included in CCS cost above</t>
  </si>
  <si>
    <t/>
  </si>
  <si>
    <t>Disc. Rate</t>
  </si>
  <si>
    <t>2020_RCP431</t>
  </si>
  <si>
    <t>2020_RCP432</t>
  </si>
  <si>
    <t>2020_RCP433</t>
  </si>
  <si>
    <t>2020_RCP434</t>
  </si>
  <si>
    <t>2020_RCP435</t>
  </si>
  <si>
    <t>2020_RCP436</t>
  </si>
  <si>
    <t>2020_RCP437</t>
  </si>
  <si>
    <t>2020_RCP438</t>
  </si>
  <si>
    <t>2020_RCP439</t>
  </si>
  <si>
    <t>2020_RCP440</t>
  </si>
  <si>
    <t>2020_RCP441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</si>
</sst>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%"/>
    <numFmt numFmtId="169" formatCode="0.0"/>
    <numFmt numFmtId="170" formatCode="_(* #,##0_);_(* \(#,##0\);_(* &quot;-&quot;??_);_(@_)"/>
  </numFmts>
  <fonts count="25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sz val="10"/>
      <name val="Lohit Hind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45"/>
        <bgColor indexed="31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3" fillId="2" borderId="0" applyNumberFormat="0" applyBorder="0" applyAlignment="0" applyProtection="0"/>
    <xf numFmtId="0" fontId="4" fillId="0" borderId="0"/>
    <xf numFmtId="0" fontId="5" fillId="3" borderId="0" applyNumberFormat="0" applyBorder="0" applyAlignment="0" applyProtection="0"/>
    <xf numFmtId="9" fontId="6" fillId="0" borderId="0" applyFont="0" applyFill="0" applyBorder="0" applyAlignment="0" applyProtection="0"/>
    <xf numFmtId="0" fontId="14" fillId="10" borderId="0" applyNumberFormat="0" applyBorder="0" applyAlignment="0" applyProtection="0"/>
    <xf numFmtId="0" fontId="17" fillId="13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64" fontId="6" fillId="0" borderId="0" applyFon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wrapText="1"/>
    </xf>
    <xf numFmtId="0" fontId="3" fillId="2" borderId="0" xfId="1"/>
    <xf numFmtId="165" fontId="3" fillId="2" borderId="0" xfId="1" applyNumberFormat="1"/>
    <xf numFmtId="166" fontId="3" fillId="2" borderId="0" xfId="1" applyNumberFormat="1"/>
    <xf numFmtId="0" fontId="2" fillId="4" borderId="1" xfId="0" applyFont="1" applyFill="1" applyBorder="1"/>
    <xf numFmtId="0" fontId="0" fillId="4" borderId="1" xfId="0" applyFill="1" applyBorder="1"/>
    <xf numFmtId="0" fontId="2" fillId="0" borderId="0" xfId="0" applyFont="1" applyAlignment="1">
      <alignment vertical="center"/>
    </xf>
    <xf numFmtId="0" fontId="7" fillId="0" borderId="0" xfId="0" applyFont="1" applyAlignment="1">
      <alignment horizontal="right" vertical="center" wrapText="1"/>
    </xf>
    <xf numFmtId="2" fontId="0" fillId="0" borderId="0" xfId="0" applyNumberFormat="1"/>
    <xf numFmtId="9" fontId="0" fillId="0" borderId="0" xfId="4" applyFont="1"/>
    <xf numFmtId="0" fontId="8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1" fillId="0" borderId="0" xfId="0" applyFont="1"/>
    <xf numFmtId="0" fontId="0" fillId="0" borderId="0" xfId="0" applyBorder="1"/>
    <xf numFmtId="2" fontId="0" fillId="0" borderId="0" xfId="4" applyNumberFormat="1" applyFont="1"/>
    <xf numFmtId="0" fontId="2" fillId="6" borderId="0" xfId="0" applyFont="1" applyFill="1" applyBorder="1"/>
    <xf numFmtId="0" fontId="0" fillId="6" borderId="0" xfId="0" applyFill="1" applyBorder="1"/>
    <xf numFmtId="0" fontId="1" fillId="5" borderId="0" xfId="0" applyFont="1" applyFill="1" applyBorder="1"/>
    <xf numFmtId="0" fontId="2" fillId="5" borderId="0" xfId="0" applyFont="1" applyFill="1" applyBorder="1"/>
    <xf numFmtId="0" fontId="2" fillId="7" borderId="0" xfId="0" applyFont="1" applyFill="1" applyBorder="1"/>
    <xf numFmtId="0" fontId="0" fillId="7" borderId="0" xfId="0" applyFill="1" applyBorder="1"/>
    <xf numFmtId="0" fontId="1" fillId="6" borderId="0" xfId="0" applyFont="1" applyFill="1" applyBorder="1"/>
    <xf numFmtId="9" fontId="0" fillId="0" borderId="0" xfId="0" applyNumberForma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2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Fill="1" applyBorder="1"/>
    <xf numFmtId="0" fontId="0" fillId="0" borderId="5" xfId="0" applyFill="1" applyBorder="1"/>
    <xf numFmtId="0" fontId="0" fillId="0" borderId="5" xfId="0" applyBorder="1"/>
    <xf numFmtId="0" fontId="0" fillId="0" borderId="11" xfId="0" applyBorder="1"/>
    <xf numFmtId="0" fontId="1" fillId="5" borderId="12" xfId="0" applyFont="1" applyFill="1" applyBorder="1"/>
    <xf numFmtId="0" fontId="2" fillId="5" borderId="12" xfId="0" applyFont="1" applyFill="1" applyBorder="1"/>
    <xf numFmtId="0" fontId="1" fillId="0" borderId="0" xfId="0" applyFont="1" applyFill="1" applyBorder="1"/>
    <xf numFmtId="2" fontId="0" fillId="8" borderId="0" xfId="4" applyNumberFormat="1" applyFont="1" applyFill="1"/>
    <xf numFmtId="0" fontId="0" fillId="8" borderId="0" xfId="0" applyFill="1" applyBorder="1"/>
    <xf numFmtId="9" fontId="0" fillId="8" borderId="0" xfId="4" applyFont="1" applyFill="1"/>
    <xf numFmtId="1" fontId="0" fillId="0" borderId="0" xfId="4" applyNumberFormat="1" applyFont="1"/>
    <xf numFmtId="0" fontId="12" fillId="5" borderId="12" xfId="0" applyFont="1" applyFill="1" applyBorder="1"/>
    <xf numFmtId="0" fontId="13" fillId="0" borderId="0" xfId="0" applyFont="1"/>
    <xf numFmtId="0" fontId="12" fillId="7" borderId="0" xfId="0" applyFont="1" applyFill="1" applyBorder="1"/>
    <xf numFmtId="0" fontId="12" fillId="6" borderId="0" xfId="0" applyFont="1" applyFill="1" applyBorder="1"/>
    <xf numFmtId="0" fontId="2" fillId="9" borderId="12" xfId="0" applyFont="1" applyFill="1" applyBorder="1" applyAlignment="1">
      <alignment horizontal="center"/>
    </xf>
    <xf numFmtId="0" fontId="12" fillId="9" borderId="12" xfId="0" applyFont="1" applyFill="1" applyBorder="1"/>
    <xf numFmtId="0" fontId="1" fillId="0" borderId="0" xfId="0" applyFont="1" applyAlignment="1">
      <alignment horizontal="right"/>
    </xf>
    <xf numFmtId="0" fontId="2" fillId="11" borderId="12" xfId="0" applyFont="1" applyFill="1" applyBorder="1" applyAlignment="1">
      <alignment horizontal="center"/>
    </xf>
    <xf numFmtId="0" fontId="12" fillId="11" borderId="12" xfId="0" applyFont="1" applyFill="1" applyBorder="1"/>
    <xf numFmtId="0" fontId="3" fillId="2" borderId="0" xfId="1" applyBorder="1"/>
    <xf numFmtId="0" fontId="14" fillId="10" borderId="0" xfId="5" applyBorder="1"/>
    <xf numFmtId="0" fontId="2" fillId="12" borderId="12" xfId="0" applyFont="1" applyFill="1" applyBorder="1" applyAlignment="1">
      <alignment horizontal="center"/>
    </xf>
    <xf numFmtId="0" fontId="12" fillId="12" borderId="12" xfId="0" applyFont="1" applyFill="1" applyBorder="1"/>
    <xf numFmtId="0" fontId="12" fillId="9" borderId="12" xfId="0" applyFont="1" applyFill="1" applyBorder="1" applyAlignment="1"/>
    <xf numFmtId="0" fontId="0" fillId="0" borderId="0" xfId="0" applyAlignment="1"/>
    <xf numFmtId="10" fontId="3" fillId="2" borderId="0" xfId="1" applyNumberFormat="1" applyBorder="1"/>
    <xf numFmtId="9" fontId="3" fillId="2" borderId="0" xfId="1" applyNumberFormat="1" applyBorder="1"/>
    <xf numFmtId="0" fontId="0" fillId="0" borderId="0" xfId="0" applyAlignment="1">
      <alignment horizontal="left" vertical="center" indent="2"/>
    </xf>
    <xf numFmtId="0" fontId="17" fillId="13" borderId="0" xfId="6"/>
    <xf numFmtId="0" fontId="17" fillId="13" borderId="0" xfId="6" applyBorder="1"/>
    <xf numFmtId="0" fontId="18" fillId="0" borderId="0" xfId="7"/>
    <xf numFmtId="0" fontId="0" fillId="14" borderId="0" xfId="0" applyFill="1"/>
    <xf numFmtId="0" fontId="0" fillId="14" borderId="0" xfId="0" applyFill="1" applyAlignment="1">
      <alignment wrapText="1"/>
    </xf>
    <xf numFmtId="0" fontId="8" fillId="14" borderId="0" xfId="0" applyFont="1" applyFill="1"/>
    <xf numFmtId="16" fontId="0" fillId="14" borderId="0" xfId="0" applyNumberFormat="1" applyFill="1"/>
    <xf numFmtId="17" fontId="0" fillId="14" borderId="0" xfId="0" applyNumberFormat="1" applyFill="1"/>
    <xf numFmtId="0" fontId="2" fillId="15" borderId="12" xfId="0" applyFont="1" applyFill="1" applyBorder="1" applyAlignment="1">
      <alignment horizontal="center"/>
    </xf>
    <xf numFmtId="0" fontId="12" fillId="15" borderId="12" xfId="0" applyFont="1" applyFill="1" applyBorder="1"/>
    <xf numFmtId="9" fontId="0" fillId="0" borderId="0" xfId="4" applyFont="1" applyBorder="1"/>
    <xf numFmtId="0" fontId="3" fillId="2" borderId="3" xfId="1" applyBorder="1"/>
    <xf numFmtId="0" fontId="19" fillId="0" borderId="0" xfId="8"/>
    <xf numFmtId="0" fontId="0" fillId="0" borderId="0" xfId="0" quotePrefix="1"/>
    <xf numFmtId="0" fontId="20" fillId="0" borderId="0" xfId="0" applyFont="1"/>
    <xf numFmtId="0" fontId="0" fillId="5" borderId="0" xfId="0" applyFill="1"/>
    <xf numFmtId="0" fontId="0" fillId="7" borderId="0" xfId="0" applyFill="1"/>
    <xf numFmtId="0" fontId="0" fillId="16" borderId="0" xfId="0" applyFill="1"/>
    <xf numFmtId="0" fontId="0" fillId="16" borderId="0" xfId="0" applyFont="1" applyFill="1"/>
    <xf numFmtId="16" fontId="0" fillId="16" borderId="0" xfId="0" applyNumberFormat="1" applyFill="1"/>
    <xf numFmtId="49" fontId="0" fillId="16" borderId="0" xfId="0" applyNumberFormat="1" applyFill="1"/>
    <xf numFmtId="0" fontId="0" fillId="16" borderId="0" xfId="0" quotePrefix="1" applyFill="1"/>
    <xf numFmtId="17" fontId="0" fillId="7" borderId="0" xfId="0" applyNumberFormat="1" applyFill="1"/>
    <xf numFmtId="0" fontId="0" fillId="7" borderId="12" xfId="0" applyFill="1" applyBorder="1"/>
    <xf numFmtId="17" fontId="0" fillId="7" borderId="12" xfId="0" applyNumberFormat="1" applyFill="1" applyBorder="1"/>
    <xf numFmtId="49" fontId="0" fillId="5" borderId="0" xfId="0" applyNumberFormat="1" applyFill="1"/>
    <xf numFmtId="16" fontId="0" fillId="5" borderId="0" xfId="0" quotePrefix="1" applyNumberFormat="1" applyFill="1"/>
    <xf numFmtId="0" fontId="0" fillId="5" borderId="0" xfId="0" quotePrefix="1" applyFill="1"/>
    <xf numFmtId="0" fontId="0" fillId="16" borderId="0" xfId="0" applyFill="1" applyBorder="1"/>
    <xf numFmtId="0" fontId="20" fillId="0" borderId="7" xfId="0" applyFont="1" applyBorder="1"/>
    <xf numFmtId="0" fontId="0" fillId="0" borderId="8" xfId="0" applyBorder="1" applyAlignment="1">
      <alignment wrapText="1"/>
    </xf>
    <xf numFmtId="0" fontId="0" fillId="0" borderId="13" xfId="0" applyBorder="1"/>
    <xf numFmtId="0" fontId="0" fillId="0" borderId="14" xfId="0" applyBorder="1"/>
    <xf numFmtId="0" fontId="0" fillId="0" borderId="10" xfId="0" applyBorder="1" applyAlignment="1">
      <alignment horizontal="left" vertical="center" indent="2"/>
    </xf>
    <xf numFmtId="16" fontId="0" fillId="0" borderId="5" xfId="0" applyNumberFormat="1" applyBorder="1"/>
    <xf numFmtId="0" fontId="0" fillId="17" borderId="7" xfId="0" applyFill="1" applyBorder="1"/>
    <xf numFmtId="0" fontId="0" fillId="17" borderId="8" xfId="0" applyFill="1" applyBorder="1"/>
    <xf numFmtId="0" fontId="0" fillId="17" borderId="9" xfId="0" applyFill="1" applyBorder="1"/>
    <xf numFmtId="0" fontId="0" fillId="17" borderId="13" xfId="0" applyFill="1" applyBorder="1"/>
    <xf numFmtId="0" fontId="0" fillId="17" borderId="0" xfId="0" applyFill="1" applyBorder="1"/>
    <xf numFmtId="0" fontId="0" fillId="17" borderId="14" xfId="0" applyFill="1" applyBorder="1"/>
    <xf numFmtId="0" fontId="0" fillId="17" borderId="10" xfId="0" applyFill="1" applyBorder="1"/>
    <xf numFmtId="0" fontId="0" fillId="17" borderId="5" xfId="0" applyFill="1" applyBorder="1"/>
    <xf numFmtId="0" fontId="0" fillId="17" borderId="11" xfId="0" applyFill="1" applyBorder="1"/>
    <xf numFmtId="11" fontId="0" fillId="14" borderId="0" xfId="0" applyNumberFormat="1" applyFill="1"/>
    <xf numFmtId="0" fontId="0" fillId="14" borderId="0" xfId="4" applyNumberFormat="1" applyFont="1" applyFill="1"/>
    <xf numFmtId="0" fontId="0" fillId="0" borderId="0" xfId="0" quotePrefix="1" applyAlignment="1">
      <alignment horizontal="right"/>
    </xf>
    <xf numFmtId="0" fontId="0" fillId="17" borderId="0" xfId="0" applyFill="1" applyBorder="1" applyAlignment="1">
      <alignment horizontal="right"/>
    </xf>
    <xf numFmtId="0" fontId="8" fillId="17" borderId="8" xfId="0" applyFont="1" applyFill="1" applyBorder="1"/>
    <xf numFmtId="0" fontId="0" fillId="18" borderId="0" xfId="0" applyFill="1"/>
    <xf numFmtId="0" fontId="0" fillId="19" borderId="0" xfId="0" applyFill="1"/>
    <xf numFmtId="0" fontId="0" fillId="19" borderId="0" xfId="0" quotePrefix="1" applyFill="1" applyAlignment="1">
      <alignment horizontal="right"/>
    </xf>
    <xf numFmtId="0" fontId="8" fillId="4" borderId="7" xfId="0" applyFont="1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3" xfId="0" applyFill="1" applyBorder="1"/>
    <xf numFmtId="0" fontId="0" fillId="4" borderId="0" xfId="0" applyFill="1" applyBorder="1"/>
    <xf numFmtId="0" fontId="0" fillId="4" borderId="14" xfId="0" applyFill="1" applyBorder="1"/>
    <xf numFmtId="0" fontId="0" fillId="4" borderId="0" xfId="0" applyFill="1" applyBorder="1" applyAlignment="1">
      <alignment wrapText="1"/>
    </xf>
    <xf numFmtId="0" fontId="0" fillId="4" borderId="10" xfId="0" applyFill="1" applyBorder="1"/>
    <xf numFmtId="0" fontId="0" fillId="4" borderId="5" xfId="0" applyFill="1" applyBorder="1"/>
    <xf numFmtId="0" fontId="12" fillId="5" borderId="0" xfId="0" applyFont="1" applyFill="1" applyBorder="1"/>
    <xf numFmtId="0" fontId="12" fillId="9" borderId="0" xfId="0" applyFont="1" applyFill="1" applyBorder="1"/>
    <xf numFmtId="0" fontId="12" fillId="9" borderId="0" xfId="0" applyFont="1" applyFill="1" applyBorder="1" applyAlignment="1"/>
    <xf numFmtId="0" fontId="12" fillId="11" borderId="0" xfId="0" applyFont="1" applyFill="1" applyBorder="1"/>
    <xf numFmtId="0" fontId="12" fillId="12" borderId="0" xfId="0" applyFont="1" applyFill="1" applyBorder="1"/>
    <xf numFmtId="0" fontId="12" fillId="15" borderId="0" xfId="0" applyFont="1" applyFill="1" applyBorder="1"/>
    <xf numFmtId="0" fontId="17" fillId="13" borderId="0" xfId="6" applyAlignment="1"/>
    <xf numFmtId="0" fontId="13" fillId="20" borderId="0" xfId="0" applyFont="1" applyFill="1"/>
    <xf numFmtId="0" fontId="0" fillId="20" borderId="0" xfId="0" applyFill="1"/>
    <xf numFmtId="0" fontId="1" fillId="20" borderId="0" xfId="0" applyFont="1" applyFill="1"/>
    <xf numFmtId="0" fontId="2" fillId="0" borderId="7" xfId="0" applyFont="1" applyBorder="1"/>
    <xf numFmtId="0" fontId="8" fillId="19" borderId="13" xfId="0" applyFont="1" applyFill="1" applyBorder="1" applyAlignment="1">
      <alignment horizontal="left"/>
    </xf>
    <xf numFmtId="0" fontId="0" fillId="19" borderId="0" xfId="0" applyFill="1" applyBorder="1"/>
    <xf numFmtId="0" fontId="0" fillId="19" borderId="14" xfId="0" applyFill="1" applyBorder="1"/>
    <xf numFmtId="0" fontId="21" fillId="19" borderId="13" xfId="0" applyFont="1" applyFill="1" applyBorder="1"/>
    <xf numFmtId="0" fontId="0" fillId="19" borderId="13" xfId="0" applyFill="1" applyBorder="1"/>
    <xf numFmtId="0" fontId="8" fillId="21" borderId="13" xfId="0" applyFont="1" applyFill="1" applyBorder="1" applyAlignment="1">
      <alignment horizontal="left"/>
    </xf>
    <xf numFmtId="0" fontId="0" fillId="21" borderId="0" xfId="0" applyFill="1" applyBorder="1"/>
    <xf numFmtId="0" fontId="0" fillId="21" borderId="14" xfId="0" applyFill="1" applyBorder="1"/>
    <xf numFmtId="0" fontId="21" fillId="21" borderId="13" xfId="0" applyFont="1" applyFill="1" applyBorder="1"/>
    <xf numFmtId="0" fontId="0" fillId="21" borderId="13" xfId="0" applyFill="1" applyBorder="1"/>
    <xf numFmtId="0" fontId="0" fillId="21" borderId="10" xfId="0" applyFill="1" applyBorder="1"/>
    <xf numFmtId="167" fontId="0" fillId="21" borderId="0" xfId="0" applyNumberFormat="1" applyFill="1" applyBorder="1"/>
    <xf numFmtId="167" fontId="0" fillId="21" borderId="14" xfId="0" applyNumberFormat="1" applyFill="1" applyBorder="1"/>
    <xf numFmtId="167" fontId="0" fillId="21" borderId="12" xfId="0" applyNumberFormat="1" applyFill="1" applyBorder="1"/>
    <xf numFmtId="0" fontId="0" fillId="21" borderId="15" xfId="0" applyFill="1" applyBorder="1"/>
    <xf numFmtId="167" fontId="0" fillId="21" borderId="16" xfId="0" applyNumberFormat="1" applyFill="1" applyBorder="1"/>
    <xf numFmtId="167" fontId="3" fillId="2" borderId="0" xfId="1" applyNumberFormat="1" applyBorder="1"/>
    <xf numFmtId="10" fontId="0" fillId="0" borderId="0" xfId="0" applyNumberFormat="1" applyBorder="1"/>
    <xf numFmtId="0" fontId="14" fillId="10" borderId="0" xfId="5"/>
    <xf numFmtId="0" fontId="0" fillId="22" borderId="0" xfId="0" applyFill="1"/>
    <xf numFmtId="0" fontId="2" fillId="22" borderId="0" xfId="0" applyFont="1" applyFill="1"/>
    <xf numFmtId="10" fontId="0" fillId="22" borderId="0" xfId="4" applyNumberFormat="1" applyFont="1" applyFill="1"/>
    <xf numFmtId="9" fontId="3" fillId="2" borderId="0" xfId="1" applyNumberFormat="1"/>
    <xf numFmtId="0" fontId="22" fillId="14" borderId="0" xfId="0" applyFont="1" applyFill="1"/>
    <xf numFmtId="1" fontId="3" fillId="2" borderId="0" xfId="1" applyNumberFormat="1" applyBorder="1"/>
    <xf numFmtId="9" fontId="3" fillId="2" borderId="0" xfId="4" applyFont="1" applyFill="1" applyBorder="1"/>
    <xf numFmtId="0" fontId="23" fillId="2" borderId="0" xfId="1" applyFont="1" applyBorder="1"/>
    <xf numFmtId="168" fontId="0" fillId="22" borderId="0" xfId="0" applyNumberFormat="1" applyFill="1"/>
    <xf numFmtId="2" fontId="0" fillId="4" borderId="0" xfId="0" applyNumberFormat="1" applyFill="1" applyBorder="1"/>
    <xf numFmtId="2" fontId="0" fillId="4" borderId="14" xfId="0" applyNumberFormat="1" applyFill="1" applyBorder="1"/>
    <xf numFmtId="169" fontId="0" fillId="4" borderId="0" xfId="0" applyNumberFormat="1" applyFill="1" applyBorder="1"/>
    <xf numFmtId="169" fontId="0" fillId="4" borderId="14" xfId="0" applyNumberFormat="1" applyFill="1" applyBorder="1"/>
    <xf numFmtId="1" fontId="0" fillId="4" borderId="0" xfId="0" applyNumberFormat="1" applyFill="1" applyBorder="1"/>
    <xf numFmtId="1" fontId="0" fillId="4" borderId="14" xfId="0" applyNumberFormat="1" applyFill="1" applyBorder="1"/>
    <xf numFmtId="11" fontId="0" fillId="4" borderId="0" xfId="0" applyNumberFormat="1" applyFill="1" applyBorder="1"/>
    <xf numFmtId="11" fontId="0" fillId="4" borderId="14" xfId="0" applyNumberFormat="1" applyFill="1" applyBorder="1"/>
    <xf numFmtId="11" fontId="0" fillId="4" borderId="5" xfId="0" applyNumberFormat="1" applyFill="1" applyBorder="1"/>
    <xf numFmtId="11" fontId="0" fillId="4" borderId="11" xfId="0" applyNumberFormat="1" applyFill="1" applyBorder="1"/>
    <xf numFmtId="0" fontId="0" fillId="4" borderId="0" xfId="0" applyFill="1" applyBorder="1" applyAlignment="1">
      <alignment horizontal="right" wrapText="1"/>
    </xf>
    <xf numFmtId="0" fontId="0" fillId="4" borderId="14" xfId="0" applyFill="1" applyBorder="1" applyAlignment="1">
      <alignment horizontal="right" wrapText="1"/>
    </xf>
    <xf numFmtId="0" fontId="2" fillId="6" borderId="12" xfId="0" applyFont="1" applyFill="1" applyBorder="1" applyAlignment="1">
      <alignment horizontal="center"/>
    </xf>
    <xf numFmtId="0" fontId="12" fillId="6" borderId="12" xfId="0" applyFont="1" applyFill="1" applyBorder="1"/>
    <xf numFmtId="0" fontId="3" fillId="6" borderId="0" xfId="1" applyFill="1" applyBorder="1"/>
    <xf numFmtId="165" fontId="0" fillId="21" borderId="5" xfId="0" applyNumberFormat="1" applyFill="1" applyBorder="1"/>
    <xf numFmtId="165" fontId="0" fillId="21" borderId="11" xfId="0" applyNumberFormat="1" applyFill="1" applyBorder="1"/>
    <xf numFmtId="2" fontId="3" fillId="2" borderId="0" xfId="1" applyNumberFormat="1" applyBorder="1"/>
    <xf numFmtId="170" fontId="0" fillId="0" borderId="6" xfId="9" applyNumberFormat="1" applyFont="1" applyBorder="1"/>
    <xf numFmtId="0" fontId="12" fillId="0" borderId="0" xfId="0" applyFont="1" applyFill="1" applyBorder="1" applyAlignment="1">
      <alignment horizontal="left"/>
    </xf>
    <xf numFmtId="0" fontId="0" fillId="0" borderId="0" xfId="0" applyAlignment="1">
      <alignment horizontal="right"/>
    </xf>
    <xf numFmtId="2" fontId="3" fillId="2" borderId="0" xfId="1" applyNumberFormat="1"/>
    <xf numFmtId="0" fontId="0" fillId="22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4" borderId="1" xfId="0" applyFill="1" applyBorder="1" applyAlignment="1">
      <alignment wrapText="1"/>
    </xf>
    <xf numFmtId="0" fontId="0" fillId="22" borderId="1" xfId="0" applyFill="1" applyBorder="1" applyAlignment="1">
      <alignment wrapText="1"/>
    </xf>
    <xf numFmtId="0" fontId="0" fillId="16" borderId="1" xfId="0" applyFill="1" applyBorder="1" applyAlignment="1">
      <alignment wrapText="1"/>
    </xf>
    <xf numFmtId="0" fontId="0" fillId="14" borderId="5" xfId="0" applyFill="1" applyBorder="1" applyAlignment="1">
      <alignment wrapText="1"/>
    </xf>
    <xf numFmtId="0" fontId="0" fillId="22" borderId="5" xfId="0" applyFill="1" applyBorder="1" applyAlignment="1">
      <alignment wrapText="1"/>
    </xf>
    <xf numFmtId="0" fontId="0" fillId="16" borderId="5" xfId="0" applyFill="1" applyBorder="1" applyAlignment="1">
      <alignment wrapText="1"/>
    </xf>
    <xf numFmtId="0" fontId="8" fillId="0" borderId="5" xfId="0" applyFont="1" applyBorder="1"/>
    <xf numFmtId="0" fontId="0" fillId="19" borderId="12" xfId="0" applyFill="1" applyBorder="1" applyAlignment="1">
      <alignment wrapText="1"/>
    </xf>
    <xf numFmtId="0" fontId="0" fillId="19" borderId="0" xfId="0" applyFill="1" applyAlignment="1">
      <alignment wrapText="1"/>
    </xf>
    <xf numFmtId="0" fontId="0" fillId="19" borderId="5" xfId="0" applyFill="1" applyBorder="1" applyAlignment="1">
      <alignment wrapText="1"/>
    </xf>
    <xf numFmtId="0" fontId="0" fillId="19" borderId="0" xfId="0" applyFill="1" applyBorder="1" applyAlignment="1">
      <alignment wrapText="1"/>
    </xf>
    <xf numFmtId="0" fontId="8" fillId="14" borderId="1" xfId="0" applyFont="1" applyFill="1" applyBorder="1" applyAlignment="1">
      <alignment horizontal="right" wrapText="1"/>
    </xf>
    <xf numFmtId="0" fontId="0" fillId="14" borderId="1" xfId="0" applyFill="1" applyBorder="1" applyAlignment="1">
      <alignment horizontal="right" wrapText="1"/>
    </xf>
    <xf numFmtId="169" fontId="0" fillId="14" borderId="1" xfId="0" applyNumberFormat="1" applyFill="1" applyBorder="1" applyAlignment="1">
      <alignment wrapText="1"/>
    </xf>
    <xf numFmtId="0" fontId="0" fillId="14" borderId="0" xfId="0" applyFill="1" applyBorder="1" applyAlignment="1">
      <alignment horizontal="right" wrapText="1"/>
    </xf>
    <xf numFmtId="169" fontId="0" fillId="0" borderId="0" xfId="0" applyNumberFormat="1"/>
    <xf numFmtId="167" fontId="0" fillId="0" borderId="0" xfId="0" applyNumberFormat="1"/>
    <xf numFmtId="0" fontId="13" fillId="0" borderId="0" xfId="0" applyFont="1" applyBorder="1"/>
    <xf numFmtId="0" fontId="24" fillId="2" borderId="0" xfId="1" applyFont="1" applyBorder="1"/>
    <xf numFmtId="0" fontId="13" fillId="0" borderId="8" xfId="0" applyFont="1" applyBorder="1"/>
    <xf numFmtId="0" fontId="13" fillId="0" borderId="9" xfId="0" applyFont="1" applyBorder="1"/>
    <xf numFmtId="2" fontId="13" fillId="0" borderId="0" xfId="0" applyNumberFormat="1" applyFont="1" applyBorder="1"/>
    <xf numFmtId="2" fontId="13" fillId="0" borderId="0" xfId="0" applyNumberFormat="1" applyFont="1" applyFill="1" applyBorder="1"/>
    <xf numFmtId="167" fontId="13" fillId="0" borderId="0" xfId="0" applyNumberFormat="1" applyFont="1" applyBorder="1"/>
    <xf numFmtId="167" fontId="13" fillId="0" borderId="0" xfId="0" applyNumberFormat="1" applyFont="1" applyFill="1" applyBorder="1"/>
    <xf numFmtId="0" fontId="2" fillId="6" borderId="0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9" borderId="0" xfId="0" applyFont="1" applyFill="1" applyBorder="1" applyAlignment="1">
      <alignment horizontal="center"/>
    </xf>
    <xf numFmtId="0" fontId="2" fillId="15" borderId="0" xfId="0" applyFont="1" applyFill="1" applyBorder="1" applyAlignment="1">
      <alignment horizontal="center"/>
    </xf>
    <xf numFmtId="0" fontId="0" fillId="16" borderId="12" xfId="0" applyFill="1" applyBorder="1" applyAlignment="1">
      <alignment horizontal="center" wrapText="1"/>
    </xf>
    <xf numFmtId="0" fontId="0" fillId="22" borderId="12" xfId="0" applyFill="1" applyBorder="1" applyAlignment="1">
      <alignment horizontal="center" wrapText="1"/>
    </xf>
    <xf numFmtId="0" fontId="0" fillId="14" borderId="12" xfId="0" applyFill="1" applyBorder="1" applyAlignment="1">
      <alignment horizontal="center" wrapText="1"/>
    </xf>
  </cellXfs>
  <cellStyles count="10">
    <cellStyle name="Bad" xfId="5" builtinId="27"/>
    <cellStyle name="Comma" xfId="9" builtinId="3"/>
    <cellStyle name="Explanatory Text" xfId="8" builtinId="53"/>
    <cellStyle name="Good" xfId="1" builtinId="26"/>
    <cellStyle name="Hyperlink" xfId="7" builtinId="8"/>
    <cellStyle name="Neutral" xfId="6" builtinId="28"/>
    <cellStyle name="Normal" xfId="0" builtinId="0"/>
    <cellStyle name="Normal 2" xfId="2"/>
    <cellStyle name="Percent" xfId="4" builtinId="5"/>
    <cellStyle name="Result_CorelPolyGUI" xfId="3"/>
  </cellStyles>
  <dxfs count="35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Results!$F$1</c:f>
              <c:strCache>
                <c:ptCount val="1"/>
                <c:pt idx="0">
                  <c:v>BEBCS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chemeClr val="accent4">
                  <a:lumMod val="60000"/>
                  <a:lumOff val="40000"/>
                  <a:alpha val="58000"/>
                </a:schemeClr>
              </a:solidFill>
              <a:ln>
                <a:noFill/>
              </a:ln>
            </c:spPr>
          </c:marker>
          <c:dPt>
            <c:idx val="159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DEB9-4CF2-B0C1-0479915DF2F5}"/>
              </c:ext>
            </c:extLst>
          </c:dPt>
          <c:xVal>
            <c:numRef>
              <c:f>Results!$M$2:$M$2001</c:f>
              <c:numCache>
                <c:formatCode>General</c:formatCode>
                <c:ptCount val="2000"/>
              </c:numCache>
            </c:numRef>
          </c:xVal>
          <c:yVal>
            <c:numRef>
              <c:f>Results!$F$2:$F$2001</c:f>
              <c:numCache>
                <c:formatCode>General</c:formatCode>
                <c:ptCount val="2000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EB9-4CF2-B0C1-0479915DF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725824"/>
        <c:axId val="265883648"/>
      </c:scatterChart>
      <c:valAx>
        <c:axId val="265725824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883648"/>
        <c:crosses val="autoZero"/>
        <c:crossBetween val="midCat"/>
      </c:valAx>
      <c:valAx>
        <c:axId val="26588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72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sensitivity!$D$2</c:f>
              <c:strCache>
                <c:ptCount val="1"/>
                <c:pt idx="0">
                  <c:v>BES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sensitivity!$D$3:$D$14</c:f>
              <c:numCache>
                <c:formatCode>0.00</c:formatCode>
                <c:ptCount val="12"/>
                <c:pt idx="0">
                  <c:v>-752.56252315871893</c:v>
                </c:pt>
                <c:pt idx="1">
                  <c:v>-459.47665745542577</c:v>
                </c:pt>
                <c:pt idx="2">
                  <c:v>-329.06368350297356</c:v>
                </c:pt>
                <c:pt idx="3">
                  <c:v>-233.61060961308957</c:v>
                </c:pt>
                <c:pt idx="4">
                  <c:v>-189.03495131450617</c:v>
                </c:pt>
                <c:pt idx="5">
                  <c:v>-120.31963349382954</c:v>
                </c:pt>
                <c:pt idx="6">
                  <c:v>-80.275351342044416</c:v>
                </c:pt>
                <c:pt idx="7">
                  <c:v>-54.64649918839433</c:v>
                </c:pt>
                <c:pt idx="8">
                  <c:v>-37.304852030675534</c:v>
                </c:pt>
                <c:pt idx="9">
                  <c:v>-25.174492647443714</c:v>
                </c:pt>
                <c:pt idx="10">
                  <c:v>-16.538337880616723</c:v>
                </c:pt>
                <c:pt idx="11">
                  <c:v>-10.360307271513079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sensitivity!$E$2</c:f>
              <c:strCache>
                <c:ptCount val="1"/>
                <c:pt idx="0">
                  <c:v>BEBCS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sensitivity!$E$3:$E$14</c:f>
              <c:numCache>
                <c:formatCode>0.00</c:formatCode>
                <c:ptCount val="12"/>
                <c:pt idx="0">
                  <c:v>752.56252315871893</c:v>
                </c:pt>
                <c:pt idx="1">
                  <c:v>459.47665745542577</c:v>
                </c:pt>
                <c:pt idx="2">
                  <c:v>329.06368350297356</c:v>
                </c:pt>
                <c:pt idx="3">
                  <c:v>233.61060961308957</c:v>
                </c:pt>
                <c:pt idx="4">
                  <c:v>189.03495131450617</c:v>
                </c:pt>
                <c:pt idx="5">
                  <c:v>120.31963349382954</c:v>
                </c:pt>
                <c:pt idx="6">
                  <c:v>80.275351342044416</c:v>
                </c:pt>
                <c:pt idx="7">
                  <c:v>54.64649918839433</c:v>
                </c:pt>
                <c:pt idx="8">
                  <c:v>37.304852030675534</c:v>
                </c:pt>
                <c:pt idx="9">
                  <c:v>25.174492647443714</c:v>
                </c:pt>
                <c:pt idx="10">
                  <c:v>16.538337880616723</c:v>
                </c:pt>
                <c:pt idx="11">
                  <c:v>10.360307271513079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sensitivity!$F$2</c:f>
              <c:strCache>
                <c:ptCount val="1"/>
                <c:pt idx="0">
                  <c:v>BECCS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sensitivity!$F$3:$F$14</c:f>
              <c:numCache>
                <c:formatCode>0.00</c:formatCode>
                <c:ptCount val="12"/>
                <c:pt idx="0">
                  <c:v>-927.08612075391727</c:v>
                </c:pt>
                <c:pt idx="1">
                  <c:v>-637.19207650764213</c:v>
                </c:pt>
                <c:pt idx="2">
                  <c:v>-503.58728109817184</c:v>
                </c:pt>
                <c:pt idx="3">
                  <c:v>-411.3260286653059</c:v>
                </c:pt>
                <c:pt idx="4">
                  <c:v>-363.55854890970443</c:v>
                </c:pt>
                <c:pt idx="5">
                  <c:v>-294.84323108902782</c:v>
                </c:pt>
                <c:pt idx="6">
                  <c:v>-254.7989489372427</c:v>
                </c:pt>
                <c:pt idx="7">
                  <c:v>-229.17009678359261</c:v>
                </c:pt>
                <c:pt idx="8">
                  <c:v>-211.82844962587384</c:v>
                </c:pt>
                <c:pt idx="9">
                  <c:v>-199.69809024264197</c:v>
                </c:pt>
                <c:pt idx="10">
                  <c:v>-191.06193547581498</c:v>
                </c:pt>
                <c:pt idx="11">
                  <c:v>-184.88390486671136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20736"/>
        <c:axId val="266022272"/>
      </c:scatterChart>
      <c:valAx>
        <c:axId val="26602073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266022272"/>
        <c:crosses val="autoZero"/>
        <c:crossBetween val="midCat"/>
      </c:valAx>
      <c:valAx>
        <c:axId val="2660222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66020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sensitivity!$D$2</c:f>
              <c:strCache>
                <c:ptCount val="1"/>
                <c:pt idx="0">
                  <c:v>BES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sensitivity!$D$15:$D$26</c:f>
              <c:numCache>
                <c:formatCode>0.00</c:formatCode>
                <c:ptCount val="12"/>
                <c:pt idx="0">
                  <c:v>-903.26022511428107</c:v>
                </c:pt>
                <c:pt idx="1">
                  <c:v>-561.67327519542346</c:v>
                </c:pt>
                <c:pt idx="2">
                  <c:v>-390.92170769132588</c:v>
                </c:pt>
                <c:pt idx="3">
                  <c:v>-288.76736630992934</c:v>
                </c:pt>
                <c:pt idx="4">
                  <c:v>-220.99910706387993</c:v>
                </c:pt>
                <c:pt idx="5">
                  <c:v>-137.17590964401415</c:v>
                </c:pt>
                <c:pt idx="6">
                  <c:v>-87.938732062577742</c:v>
                </c:pt>
                <c:pt idx="7">
                  <c:v>-56.070717314423973</c:v>
                </c:pt>
                <c:pt idx="8">
                  <c:v>-34.174336821975317</c:v>
                </c:pt>
                <c:pt idx="9">
                  <c:v>-25.417717786221829</c:v>
                </c:pt>
                <c:pt idx="10">
                  <c:v>-25.417717786221829</c:v>
                </c:pt>
                <c:pt idx="11">
                  <c:v>-25.417717786221829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sensitivity!$E$2</c:f>
              <c:strCache>
                <c:ptCount val="1"/>
                <c:pt idx="0">
                  <c:v>BEBCS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sensitivity!$E$15:$E$26</c:f>
              <c:numCache>
                <c:formatCode>0.00</c:formatCode>
                <c:ptCount val="12"/>
                <c:pt idx="0">
                  <c:v>877.84250732805924</c:v>
                </c:pt>
                <c:pt idx="1">
                  <c:v>536.25555740920163</c:v>
                </c:pt>
                <c:pt idx="2">
                  <c:v>365.50398990510405</c:v>
                </c:pt>
                <c:pt idx="3">
                  <c:v>263.34964852370751</c:v>
                </c:pt>
                <c:pt idx="4">
                  <c:v>195.5813892776581</c:v>
                </c:pt>
                <c:pt idx="5">
                  <c:v>111.75819185779233</c:v>
                </c:pt>
                <c:pt idx="6">
                  <c:v>62.521014276355913</c:v>
                </c:pt>
                <c:pt idx="7">
                  <c:v>30.652999528202145</c:v>
                </c:pt>
                <c:pt idx="8">
                  <c:v>8.7566190357534879</c:v>
                </c:pt>
                <c:pt idx="9">
                  <c:v>-6.8781957601747763</c:v>
                </c:pt>
                <c:pt idx="10">
                  <c:v>-18.320280426628415</c:v>
                </c:pt>
                <c:pt idx="11">
                  <c:v>-26.816306196417656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sensitivity!$F$2</c:f>
              <c:strCache>
                <c:ptCount val="1"/>
                <c:pt idx="0">
                  <c:v>BECCS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sensitivity!$F$15:$F$26</c:f>
              <c:numCache>
                <c:formatCode>0.00</c:formatCode>
                <c:ptCount val="12"/>
                <c:pt idx="0">
                  <c:v>-877.84250732805924</c:v>
                </c:pt>
                <c:pt idx="1">
                  <c:v>-536.25555740920163</c:v>
                </c:pt>
                <c:pt idx="2">
                  <c:v>-365.50398990510405</c:v>
                </c:pt>
                <c:pt idx="3">
                  <c:v>-263.34964852370751</c:v>
                </c:pt>
                <c:pt idx="4">
                  <c:v>-195.5813892776581</c:v>
                </c:pt>
                <c:pt idx="5">
                  <c:v>-111.75819185779233</c:v>
                </c:pt>
                <c:pt idx="6">
                  <c:v>-62.521014276355913</c:v>
                </c:pt>
                <c:pt idx="7">
                  <c:v>-30.652999528202145</c:v>
                </c:pt>
                <c:pt idx="8">
                  <c:v>-8.7566190357534879</c:v>
                </c:pt>
                <c:pt idx="9">
                  <c:v>6.8781957601747763</c:v>
                </c:pt>
                <c:pt idx="10">
                  <c:v>18.320280426628415</c:v>
                </c:pt>
                <c:pt idx="11">
                  <c:v>25.417717786221829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64256"/>
        <c:axId val="266065792"/>
      </c:scatterChart>
      <c:valAx>
        <c:axId val="26606425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266065792"/>
        <c:crosses val="autoZero"/>
        <c:crossBetween val="midCat"/>
      </c:valAx>
      <c:valAx>
        <c:axId val="2660657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66064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sensitivity!$D$2</c:f>
              <c:strCache>
                <c:ptCount val="1"/>
                <c:pt idx="0">
                  <c:v>BES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sensitivity!$D$27:$D$38</c:f>
              <c:numCache>
                <c:formatCode>0.00</c:formatCode>
                <c:ptCount val="12"/>
                <c:pt idx="0">
                  <c:v>-1753.863213484246</c:v>
                </c:pt>
                <c:pt idx="1">
                  <c:v>-1692.1751005243668</c:v>
                </c:pt>
                <c:pt idx="2">
                  <c:v>-1692.1751005243671</c:v>
                </c:pt>
                <c:pt idx="3">
                  <c:v>-1692.1751005243668</c:v>
                </c:pt>
                <c:pt idx="4">
                  <c:v>-1692.1751005243668</c:v>
                </c:pt>
                <c:pt idx="5">
                  <c:v>-1692.1751005243671</c:v>
                </c:pt>
                <c:pt idx="6">
                  <c:v>-1692.1751005243671</c:v>
                </c:pt>
                <c:pt idx="7">
                  <c:v>-1692.1751005243668</c:v>
                </c:pt>
                <c:pt idx="8">
                  <c:v>-1692.1751005243671</c:v>
                </c:pt>
                <c:pt idx="9">
                  <c:v>-1692.1751005243666</c:v>
                </c:pt>
                <c:pt idx="10">
                  <c:v>-1692.1751005243671</c:v>
                </c:pt>
                <c:pt idx="11">
                  <c:v>-1692.1751005243668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sensitivity!$E$2</c:f>
              <c:strCache>
                <c:ptCount val="1"/>
                <c:pt idx="0">
                  <c:v>BEBCS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sensitivity!$E$27:$E$38</c:f>
              <c:numCache>
                <c:formatCode>0.00</c:formatCode>
                <c:ptCount val="12"/>
                <c:pt idx="0">
                  <c:v>61.688112959879163</c:v>
                </c:pt>
                <c:pt idx="1">
                  <c:v>-378.2710431769583</c:v>
                </c:pt>
                <c:pt idx="2">
                  <c:v>-598.34986505607458</c:v>
                </c:pt>
                <c:pt idx="3">
                  <c:v>-730.1458831027644</c:v>
                </c:pt>
                <c:pt idx="4">
                  <c:v>-817.69418130709801</c:v>
                </c:pt>
                <c:pt idx="5">
                  <c:v>-926.26374434090849</c:v>
                </c:pt>
                <c:pt idx="6">
                  <c:v>-990.36012338558476</c:v>
                </c:pt>
                <c:pt idx="7">
                  <c:v>-1032.139019527408</c:v>
                </c:pt>
                <c:pt idx="8">
                  <c:v>-1061.1169275508601</c:v>
                </c:pt>
                <c:pt idx="9">
                  <c:v>-1082.0641608680226</c:v>
                </c:pt>
                <c:pt idx="10">
                  <c:v>-1097.6388811427009</c:v>
                </c:pt>
                <c:pt idx="11">
                  <c:v>-1109.4414908740423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sensitivity!$F$2</c:f>
              <c:strCache>
                <c:ptCount val="1"/>
                <c:pt idx="0">
                  <c:v>BECCS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sensitivity!$F$27:$F$38</c:f>
              <c:numCache>
                <c:formatCode>0.00</c:formatCode>
                <c:ptCount val="12"/>
                <c:pt idx="0">
                  <c:v>-61.688112959879163</c:v>
                </c:pt>
                <c:pt idx="1">
                  <c:v>378.2710431769583</c:v>
                </c:pt>
                <c:pt idx="2">
                  <c:v>598.34986505607458</c:v>
                </c:pt>
                <c:pt idx="3">
                  <c:v>730.1458831027644</c:v>
                </c:pt>
                <c:pt idx="4">
                  <c:v>817.69418130709801</c:v>
                </c:pt>
                <c:pt idx="5">
                  <c:v>926.26374434090849</c:v>
                </c:pt>
                <c:pt idx="6">
                  <c:v>990.36012338558476</c:v>
                </c:pt>
                <c:pt idx="7">
                  <c:v>1032.139019527408</c:v>
                </c:pt>
                <c:pt idx="8">
                  <c:v>1061.1169275508601</c:v>
                </c:pt>
                <c:pt idx="9">
                  <c:v>1082.0641608680226</c:v>
                </c:pt>
                <c:pt idx="10">
                  <c:v>1097.6388811427009</c:v>
                </c:pt>
                <c:pt idx="11">
                  <c:v>1109.4414908740423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65056"/>
        <c:axId val="266766592"/>
      </c:scatterChart>
      <c:valAx>
        <c:axId val="26676505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266766592"/>
        <c:crosses val="autoZero"/>
        <c:crossBetween val="midCat"/>
      </c:valAx>
      <c:valAx>
        <c:axId val="2667665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667650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sensitivity!$D$2</c:f>
              <c:strCache>
                <c:ptCount val="1"/>
                <c:pt idx="0">
                  <c:v>BES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sensitivity!$D$39:$D$50</c:f>
              <c:numCache>
                <c:formatCode>0.00</c:formatCode>
                <c:ptCount val="12"/>
                <c:pt idx="0">
                  <c:v>-716.32088603894226</c:v>
                </c:pt>
                <c:pt idx="1">
                  <c:v>-433.70972650267538</c:v>
                </c:pt>
                <c:pt idx="2">
                  <c:v>-292.504594778637</c:v>
                </c:pt>
                <c:pt idx="3">
                  <c:v>-208.08303203048067</c:v>
                </c:pt>
                <c:pt idx="4">
                  <c:v>-152.12834323980977</c:v>
                </c:pt>
                <c:pt idx="5">
                  <c:v>-83.037770837684945</c:v>
                </c:pt>
                <c:pt idx="6">
                  <c:v>-42.593250360431227</c:v>
                </c:pt>
                <c:pt idx="7">
                  <c:v>-16.54214156976289</c:v>
                </c:pt>
                <c:pt idx="8">
                  <c:v>1.2407847522979125</c:v>
                </c:pt>
                <c:pt idx="9">
                  <c:v>13.82856630854323</c:v>
                </c:pt>
                <c:pt idx="10">
                  <c:v>22.935626536019726</c:v>
                </c:pt>
                <c:pt idx="11">
                  <c:v>29.59566792822622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sensitivity!$E$2</c:f>
              <c:strCache>
                <c:ptCount val="1"/>
                <c:pt idx="0">
                  <c:v>BEBCS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sensitivity!$E$39:$E$50</c:f>
              <c:numCache>
                <c:formatCode>0.00</c:formatCode>
                <c:ptCount val="12"/>
                <c:pt idx="0">
                  <c:v>716.32088603894226</c:v>
                </c:pt>
                <c:pt idx="1">
                  <c:v>433.70972650267538</c:v>
                </c:pt>
                <c:pt idx="2">
                  <c:v>292.504594778637</c:v>
                </c:pt>
                <c:pt idx="3">
                  <c:v>208.08303203048067</c:v>
                </c:pt>
                <c:pt idx="4">
                  <c:v>152.12834323980977</c:v>
                </c:pt>
                <c:pt idx="5">
                  <c:v>83.037770837684945</c:v>
                </c:pt>
                <c:pt idx="6">
                  <c:v>42.593250360431227</c:v>
                </c:pt>
                <c:pt idx="7">
                  <c:v>16.54214156976289</c:v>
                </c:pt>
                <c:pt idx="8">
                  <c:v>-1.2407847522979125</c:v>
                </c:pt>
                <c:pt idx="9">
                  <c:v>-13.82856630854323</c:v>
                </c:pt>
                <c:pt idx="10">
                  <c:v>-22.935626536019726</c:v>
                </c:pt>
                <c:pt idx="11">
                  <c:v>-29.59566792822622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sensitivity!$F$2</c:f>
              <c:strCache>
                <c:ptCount val="1"/>
                <c:pt idx="0">
                  <c:v>BECCS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sensitivity!$F$39:$F$50</c:f>
              <c:numCache>
                <c:formatCode>0.00</c:formatCode>
                <c:ptCount val="12"/>
                <c:pt idx="0">
                  <c:v>-946.92533672519198</c:v>
                </c:pt>
                <c:pt idx="1">
                  <c:v>-664.31417718892521</c:v>
                </c:pt>
                <c:pt idx="2">
                  <c:v>-523.10904546488678</c:v>
                </c:pt>
                <c:pt idx="3">
                  <c:v>-438.68748271673041</c:v>
                </c:pt>
                <c:pt idx="4">
                  <c:v>-382.73279392605946</c:v>
                </c:pt>
                <c:pt idx="5">
                  <c:v>-313.64222152393467</c:v>
                </c:pt>
                <c:pt idx="6">
                  <c:v>-273.19770104668095</c:v>
                </c:pt>
                <c:pt idx="7">
                  <c:v>-247.14659225601261</c:v>
                </c:pt>
                <c:pt idx="8">
                  <c:v>-230.60445068624975</c:v>
                </c:pt>
                <c:pt idx="9">
                  <c:v>-230.60445068624969</c:v>
                </c:pt>
                <c:pt idx="10">
                  <c:v>-230.60445068624969</c:v>
                </c:pt>
                <c:pt idx="11">
                  <c:v>-230.60445068624972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70176"/>
        <c:axId val="245171712"/>
      </c:scatterChart>
      <c:valAx>
        <c:axId val="24517017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245171712"/>
        <c:crosses val="autoZero"/>
        <c:crossBetween val="midCat"/>
      </c:valAx>
      <c:valAx>
        <c:axId val="2451717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51701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sensitivity!$D$2</c:f>
              <c:strCache>
                <c:ptCount val="1"/>
                <c:pt idx="0">
                  <c:v>BES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sensitivity!$D$51:$D$62</c:f>
              <c:numCache>
                <c:formatCode>0.00</c:formatCode>
                <c:ptCount val="12"/>
                <c:pt idx="0">
                  <c:v>-795.0329330174801</c:v>
                </c:pt>
                <c:pt idx="1">
                  <c:v>-453.5287880446333</c:v>
                </c:pt>
                <c:pt idx="2">
                  <c:v>-282.86417763083131</c:v>
                </c:pt>
                <c:pt idx="3">
                  <c:v>-180.80081835737843</c:v>
                </c:pt>
                <c:pt idx="4">
                  <c:v>-113.12741822052078</c:v>
                </c:pt>
                <c:pt idx="5">
                  <c:v>-29.504893851176462</c:v>
                </c:pt>
                <c:pt idx="6">
                  <c:v>19.518250245585534</c:v>
                </c:pt>
                <c:pt idx="7">
                  <c:v>51.160456884678013</c:v>
                </c:pt>
                <c:pt idx="8">
                  <c:v>72.820856684503724</c:v>
                </c:pt>
                <c:pt idx="9">
                  <c:v>88.211058070302556</c:v>
                </c:pt>
                <c:pt idx="10">
                  <c:v>99.401318935082486</c:v>
                </c:pt>
                <c:pt idx="11">
                  <c:v>107.63958216442194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sensitivity!$E$2</c:f>
              <c:strCache>
                <c:ptCount val="1"/>
                <c:pt idx="0">
                  <c:v>BEBCS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sensitivity!$E$51:$E$62</c:f>
              <c:numCache>
                <c:formatCode>0.00</c:formatCode>
                <c:ptCount val="12"/>
                <c:pt idx="0">
                  <c:v>795.0329330174801</c:v>
                </c:pt>
                <c:pt idx="1">
                  <c:v>453.5287880446333</c:v>
                </c:pt>
                <c:pt idx="2">
                  <c:v>282.86417763083131</c:v>
                </c:pt>
                <c:pt idx="3">
                  <c:v>180.80081835737843</c:v>
                </c:pt>
                <c:pt idx="4">
                  <c:v>113.12741822052078</c:v>
                </c:pt>
                <c:pt idx="5">
                  <c:v>29.504893851176462</c:v>
                </c:pt>
                <c:pt idx="6">
                  <c:v>-19.518250245585534</c:v>
                </c:pt>
                <c:pt idx="7">
                  <c:v>-51.160456884678013</c:v>
                </c:pt>
                <c:pt idx="8">
                  <c:v>-72.820856684503724</c:v>
                </c:pt>
                <c:pt idx="9">
                  <c:v>-88.211058070302556</c:v>
                </c:pt>
                <c:pt idx="10">
                  <c:v>-99.401318935082486</c:v>
                </c:pt>
                <c:pt idx="11">
                  <c:v>-107.63958216442194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sensitivity!$F$2</c:f>
              <c:strCache>
                <c:ptCount val="1"/>
                <c:pt idx="0">
                  <c:v>BECCS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sensitivity!$F$51:$F$62</c:f>
              <c:numCache>
                <c:formatCode>0.00</c:formatCode>
                <c:ptCount val="12"/>
                <c:pt idx="0">
                  <c:v>-978.48324176173116</c:v>
                </c:pt>
                <c:pt idx="1">
                  <c:v>-636.97909678888436</c:v>
                </c:pt>
                <c:pt idx="2">
                  <c:v>-466.31448637508237</c:v>
                </c:pt>
                <c:pt idx="3">
                  <c:v>-364.25112710162949</c:v>
                </c:pt>
                <c:pt idx="4">
                  <c:v>-296.57772696477184</c:v>
                </c:pt>
                <c:pt idx="5">
                  <c:v>-212.95520259542752</c:v>
                </c:pt>
                <c:pt idx="6">
                  <c:v>-183.45030874425106</c:v>
                </c:pt>
                <c:pt idx="7">
                  <c:v>-183.45030874425106</c:v>
                </c:pt>
                <c:pt idx="8">
                  <c:v>-183.45030874425106</c:v>
                </c:pt>
                <c:pt idx="9">
                  <c:v>-183.45030874425106</c:v>
                </c:pt>
                <c:pt idx="10">
                  <c:v>-183.45030874425106</c:v>
                </c:pt>
                <c:pt idx="11">
                  <c:v>-183.45030874425106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32224"/>
        <c:axId val="245195136"/>
      </c:scatterChart>
      <c:valAx>
        <c:axId val="228932224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245195136"/>
        <c:crosses val="autoZero"/>
        <c:crossBetween val="midCat"/>
      </c:valAx>
      <c:valAx>
        <c:axId val="2451951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28932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sensitivity!$D$2</c:f>
              <c:strCache>
                <c:ptCount val="1"/>
                <c:pt idx="0">
                  <c:v>BES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sensitivity!$D$63:$D$74</c:f>
              <c:numCache>
                <c:formatCode>0.00</c:formatCode>
                <c:ptCount val="12"/>
                <c:pt idx="0">
                  <c:v>-1052.2115230165434</c:v>
                </c:pt>
                <c:pt idx="1">
                  <c:v>-612.25236687970596</c:v>
                </c:pt>
                <c:pt idx="2">
                  <c:v>-392.17354500058991</c:v>
                </c:pt>
                <c:pt idx="3">
                  <c:v>-336.84967565558782</c:v>
                </c:pt>
                <c:pt idx="4">
                  <c:v>-336.84967565558759</c:v>
                </c:pt>
                <c:pt idx="5">
                  <c:v>-336.84967565558782</c:v>
                </c:pt>
                <c:pt idx="6">
                  <c:v>-336.84967565558782</c:v>
                </c:pt>
                <c:pt idx="7">
                  <c:v>-336.84967565558759</c:v>
                </c:pt>
                <c:pt idx="8">
                  <c:v>-336.84967565558782</c:v>
                </c:pt>
                <c:pt idx="9">
                  <c:v>-336.84967565558782</c:v>
                </c:pt>
                <c:pt idx="10">
                  <c:v>-336.84967565558782</c:v>
                </c:pt>
                <c:pt idx="11">
                  <c:v>-336.84967565558782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sensitivity!$E$2</c:f>
              <c:strCache>
                <c:ptCount val="1"/>
                <c:pt idx="0">
                  <c:v>BEBCS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sensitivity!$E$63:$E$74</c:f>
              <c:numCache>
                <c:formatCode>0.00</c:formatCode>
                <c:ptCount val="12"/>
                <c:pt idx="0">
                  <c:v>715.36184736095584</c:v>
                </c:pt>
                <c:pt idx="1">
                  <c:v>275.40269122411814</c:v>
                </c:pt>
                <c:pt idx="2">
                  <c:v>55.323869345002095</c:v>
                </c:pt>
                <c:pt idx="3">
                  <c:v>-76.472148701687956</c:v>
                </c:pt>
                <c:pt idx="4">
                  <c:v>-164.02044690602133</c:v>
                </c:pt>
                <c:pt idx="5">
                  <c:v>-272.59000993983227</c:v>
                </c:pt>
                <c:pt idx="6">
                  <c:v>-336.68638898450831</c:v>
                </c:pt>
                <c:pt idx="7">
                  <c:v>-378.46528512633154</c:v>
                </c:pt>
                <c:pt idx="8">
                  <c:v>-407.44319314978338</c:v>
                </c:pt>
                <c:pt idx="9">
                  <c:v>-428.39042646694656</c:v>
                </c:pt>
                <c:pt idx="10">
                  <c:v>-443.96514674162438</c:v>
                </c:pt>
                <c:pt idx="11">
                  <c:v>-455.76775647296631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sensitivity!$F$2</c:f>
              <c:strCache>
                <c:ptCount val="1"/>
                <c:pt idx="0">
                  <c:v>BECCS</c:v>
                </c:pt>
              </c:strCache>
            </c:strRef>
          </c:tx>
          <c:marker>
            <c:symbol val="none"/>
          </c:marker>
          <c:xVal>
            <c:numRef>
              <c:f>sensitivity!$C$3:$C$14</c:f>
              <c:numCache>
                <c:formatCode>0.000</c:formatCode>
                <c:ptCount val="12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</c:numCache>
            </c:numRef>
          </c:xVal>
          <c:yVal>
            <c:numRef>
              <c:f>sensitivity!$F$63:$F$74</c:f>
              <c:numCache>
                <c:formatCode>0.00</c:formatCode>
                <c:ptCount val="12"/>
                <c:pt idx="0">
                  <c:v>-715.36184736095584</c:v>
                </c:pt>
                <c:pt idx="1">
                  <c:v>-275.40269122411814</c:v>
                </c:pt>
                <c:pt idx="2">
                  <c:v>-55.323869345002095</c:v>
                </c:pt>
                <c:pt idx="3">
                  <c:v>76.472148701687956</c:v>
                </c:pt>
                <c:pt idx="4">
                  <c:v>164.02044690602133</c:v>
                </c:pt>
                <c:pt idx="5">
                  <c:v>272.59000993983227</c:v>
                </c:pt>
                <c:pt idx="6">
                  <c:v>336.68638898450831</c:v>
                </c:pt>
                <c:pt idx="7">
                  <c:v>336.84967565558759</c:v>
                </c:pt>
                <c:pt idx="8">
                  <c:v>336.84967565558782</c:v>
                </c:pt>
                <c:pt idx="9">
                  <c:v>336.84967565558782</c:v>
                </c:pt>
                <c:pt idx="10">
                  <c:v>336.84967565558782</c:v>
                </c:pt>
                <c:pt idx="11">
                  <c:v>336.84967565558782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918336"/>
        <c:axId val="265919872"/>
      </c:scatterChart>
      <c:valAx>
        <c:axId val="26591833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265919872"/>
        <c:crosses val="autoZero"/>
        <c:crossBetween val="midCat"/>
      </c:valAx>
      <c:valAx>
        <c:axId val="2659198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659183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0</xdr:col>
          <xdr:colOff>1133475</xdr:colOff>
          <xdr:row>1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</xdr:row>
          <xdr:rowOff>66675</xdr:rowOff>
        </xdr:from>
        <xdr:to>
          <xdr:col>0</xdr:col>
          <xdr:colOff>1133475</xdr:colOff>
          <xdr:row>3</xdr:row>
          <xdr:rowOff>66675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Monte Carlo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1133475</xdr:colOff>
          <xdr:row>2</xdr:row>
          <xdr:rowOff>66675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 to mean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66675</xdr:rowOff>
        </xdr:from>
        <xdr:to>
          <xdr:col>2</xdr:col>
          <xdr:colOff>133350</xdr:colOff>
          <xdr:row>3</xdr:row>
          <xdr:rowOff>57150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Scenario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63</xdr:row>
      <xdr:rowOff>66675</xdr:rowOff>
    </xdr:from>
    <xdr:to>
      <xdr:col>3</xdr:col>
      <xdr:colOff>456679</xdr:colOff>
      <xdr:row>76</xdr:row>
      <xdr:rowOff>133032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2458700"/>
          <a:ext cx="4171429" cy="25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361950</xdr:colOff>
      <xdr:row>78</xdr:row>
      <xdr:rowOff>76200</xdr:rowOff>
    </xdr:from>
    <xdr:to>
      <xdr:col>3</xdr:col>
      <xdr:colOff>542390</xdr:colOff>
      <xdr:row>86</xdr:row>
      <xdr:rowOff>171248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950" y="15325725"/>
          <a:ext cx="4276190" cy="16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123825</xdr:rowOff>
        </xdr:from>
        <xdr:to>
          <xdr:col>8</xdr:col>
          <xdr:colOff>1219200</xdr:colOff>
          <xdr:row>0</xdr:row>
          <xdr:rowOff>361950</xdr:rowOff>
        </xdr:to>
        <xdr:sp macro="" textlink="">
          <xdr:nvSpPr>
            <xdr:cNvPr id="4099" name="ScrollBar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133350</xdr:rowOff>
        </xdr:from>
        <xdr:to>
          <xdr:col>5</xdr:col>
          <xdr:colOff>742950</xdr:colOff>
          <xdr:row>0</xdr:row>
          <xdr:rowOff>381000</xdr:rowOff>
        </xdr:to>
        <xdr:sp macro="" textlink="">
          <xdr:nvSpPr>
            <xdr:cNvPr id="4100" name="TextBox1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438150</xdr:rowOff>
        </xdr:from>
        <xdr:to>
          <xdr:col>7</xdr:col>
          <xdr:colOff>454150</xdr:colOff>
          <xdr:row>0</xdr:row>
          <xdr:rowOff>673474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parameters!$E$22" spid="_x0000_s271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355292" y="438150"/>
              <a:ext cx="1983441" cy="235324"/>
            </a:xfrm>
            <a:prstGeom prst="rect">
              <a:avLst/>
            </a:prstGeom>
            <a:gradFill>
              <a:gsLst>
                <a:gs pos="0">
                  <a:schemeClr val="accent1">
                    <a:tint val="66000"/>
                    <a:satMod val="16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6350">
              <a:solidFill>
                <a:schemeClr val="accent1"/>
              </a:solidFill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0</xdr:row>
          <xdr:rowOff>457200</xdr:rowOff>
        </xdr:from>
        <xdr:to>
          <xdr:col>7</xdr:col>
          <xdr:colOff>9525</xdr:colOff>
          <xdr:row>0</xdr:row>
          <xdr:rowOff>628650</xdr:rowOff>
        </xdr:to>
        <xdr:sp macro="" textlink="">
          <xdr:nvSpPr>
            <xdr:cNvPr id="4105" name="SpinButton1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4</xdr:row>
      <xdr:rowOff>90487</xdr:rowOff>
    </xdr:from>
    <xdr:to>
      <xdr:col>13</xdr:col>
      <xdr:colOff>581024</xdr:colOff>
      <xdr:row>26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15</xdr:col>
      <xdr:colOff>244929</xdr:colOff>
      <xdr:row>15</xdr:row>
      <xdr:rowOff>115660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315192</xdr:colOff>
      <xdr:row>16</xdr:row>
      <xdr:rowOff>25730</xdr:rowOff>
    </xdr:from>
    <xdr:to>
      <xdr:col>15</xdr:col>
      <xdr:colOff>257299</xdr:colOff>
      <xdr:row>26</xdr:row>
      <xdr:rowOff>168853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201633</xdr:colOff>
      <xdr:row>27</xdr:row>
      <xdr:rowOff>64076</xdr:rowOff>
    </xdr:from>
    <xdr:to>
      <xdr:col>15</xdr:col>
      <xdr:colOff>283276</xdr:colOff>
      <xdr:row>38</xdr:row>
      <xdr:rowOff>103290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61849</xdr:colOff>
      <xdr:row>5</xdr:row>
      <xdr:rowOff>59500</xdr:rowOff>
    </xdr:from>
    <xdr:to>
      <xdr:col>21</xdr:col>
      <xdr:colOff>183076</xdr:colOff>
      <xdr:row>15</xdr:row>
      <xdr:rowOff>175038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66797</xdr:colOff>
      <xdr:row>16</xdr:row>
      <xdr:rowOff>123082</xdr:rowOff>
    </xdr:from>
    <xdr:to>
      <xdr:col>21</xdr:col>
      <xdr:colOff>178129</xdr:colOff>
      <xdr:row>27</xdr:row>
      <xdr:rowOff>66181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82879</xdr:colOff>
      <xdr:row>27</xdr:row>
      <xdr:rowOff>157719</xdr:rowOff>
    </xdr:from>
    <xdr:to>
      <xdr:col>21</xdr:col>
      <xdr:colOff>204106</xdr:colOff>
      <xdr:row>39</xdr:row>
      <xdr:rowOff>123084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ipcc.ch/pdf/special-reports/srccs/srccs_chapter8.pdf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10" Type="http://schemas.openxmlformats.org/officeDocument/2006/relationships/comments" Target="../comments5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M74"/>
  <sheetViews>
    <sheetView workbookViewId="0">
      <selection activeCell="D8" sqref="D8"/>
    </sheetView>
  </sheetViews>
  <sheetFormatPr defaultRowHeight="15"/>
  <cols>
    <col min="1" max="1" width="18" bestFit="1" customWidth="1"/>
    <col min="2" max="2" width="29.85546875" bestFit="1" customWidth="1"/>
    <col min="3" max="3" width="7.28515625" bestFit="1" customWidth="1"/>
    <col min="4" max="4" width="9.140625" style="9"/>
  </cols>
  <sheetData>
    <row r="1" spans="1:11">
      <c r="B1" t="s">
        <v>464</v>
      </c>
      <c r="D1" s="9" t="s">
        <v>610</v>
      </c>
    </row>
    <row r="3" spans="1:11">
      <c r="A3" t="s">
        <v>232</v>
      </c>
      <c r="B3" t="s">
        <v>233</v>
      </c>
      <c r="D3" s="9" t="b">
        <f>TRUE</f>
        <v>1</v>
      </c>
    </row>
    <row r="4" spans="1:11">
      <c r="D4" s="9" t="b">
        <f>FALSE</f>
        <v>0</v>
      </c>
    </row>
    <row r="5" spans="1:11">
      <c r="A5" s="10"/>
      <c r="B5" s="10"/>
      <c r="C5" s="10"/>
      <c r="D5" s="17"/>
      <c r="E5" s="10"/>
      <c r="F5" s="10"/>
      <c r="G5" s="10"/>
      <c r="H5" s="10"/>
      <c r="I5" s="10"/>
      <c r="J5" s="10"/>
      <c r="K5" s="10"/>
    </row>
    <row r="6" spans="1:11">
      <c r="A6" s="10" t="s">
        <v>175</v>
      </c>
      <c r="B6" s="10" t="s">
        <v>120</v>
      </c>
      <c r="C6" s="10"/>
      <c r="D6" s="43">
        <v>100</v>
      </c>
      <c r="E6" s="10" t="s">
        <v>8</v>
      </c>
      <c r="F6" s="10"/>
      <c r="G6" s="10"/>
      <c r="H6" s="10"/>
      <c r="I6" s="10"/>
      <c r="J6" s="10"/>
      <c r="K6" s="10"/>
    </row>
    <row r="7" spans="1:11">
      <c r="B7" s="17" t="s">
        <v>200</v>
      </c>
      <c r="C7" s="17"/>
      <c r="D7" s="43">
        <v>80000</v>
      </c>
      <c r="F7" s="10"/>
      <c r="G7" s="10"/>
      <c r="H7" s="10"/>
      <c r="I7" s="10"/>
      <c r="J7" s="10"/>
      <c r="K7" s="10"/>
    </row>
    <row r="8" spans="1:11">
      <c r="B8" s="17"/>
      <c r="C8" s="17"/>
      <c r="D8" s="17"/>
      <c r="F8" s="10"/>
      <c r="G8" s="10"/>
      <c r="H8" s="10"/>
      <c r="I8" s="10"/>
      <c r="J8" s="10"/>
      <c r="K8" s="10"/>
    </row>
    <row r="9" spans="1:11">
      <c r="A9" s="10" t="s">
        <v>186</v>
      </c>
      <c r="B9" s="10" t="s">
        <v>134</v>
      </c>
      <c r="C9" s="10"/>
      <c r="D9" s="17">
        <f>IF(time_frame&lt;=20,268,IF(time_frame&lt;=100,298,153))</f>
        <v>298</v>
      </c>
      <c r="E9" s="10"/>
      <c r="F9" s="10"/>
      <c r="G9" s="10"/>
      <c r="H9" s="10"/>
      <c r="I9" s="10"/>
      <c r="J9" s="10"/>
      <c r="K9" s="10"/>
    </row>
    <row r="10" spans="1:11">
      <c r="A10" s="10"/>
      <c r="B10" s="10" t="s">
        <v>157</v>
      </c>
      <c r="C10" s="10"/>
      <c r="D10" s="17">
        <f>IF(time_frame&lt;=20,86,IF(time_frame&lt;=100,34,7.6))</f>
        <v>34</v>
      </c>
      <c r="E10" s="10"/>
      <c r="F10" s="10"/>
      <c r="G10" s="10"/>
      <c r="H10" s="10"/>
      <c r="I10" s="10"/>
      <c r="J10" s="10"/>
      <c r="K10" s="10"/>
    </row>
    <row r="11" spans="1:11">
      <c r="A11" s="10"/>
      <c r="B11" s="10"/>
      <c r="C11" s="10"/>
      <c r="D11" s="17"/>
      <c r="E11" s="10"/>
      <c r="F11" s="10"/>
      <c r="G11" s="10"/>
      <c r="H11" s="10"/>
      <c r="I11" s="10"/>
      <c r="J11" s="10"/>
      <c r="K11" s="10"/>
    </row>
    <row r="12" spans="1:11">
      <c r="A12" s="10" t="s">
        <v>177</v>
      </c>
      <c r="B12" s="10" t="s">
        <v>54</v>
      </c>
      <c r="C12" s="10"/>
      <c r="D12" s="10">
        <v>0.5</v>
      </c>
      <c r="E12" s="10"/>
      <c r="F12" s="10"/>
      <c r="G12" s="10"/>
      <c r="H12" s="10"/>
      <c r="I12" s="10"/>
      <c r="J12" s="10"/>
      <c r="K12" s="10"/>
    </row>
    <row r="13" spans="1:11">
      <c r="A13" s="10"/>
      <c r="B13" s="10" t="s">
        <v>55</v>
      </c>
      <c r="C13" s="10"/>
      <c r="D13" s="10">
        <v>0.06</v>
      </c>
      <c r="E13" s="10"/>
      <c r="F13" s="10"/>
      <c r="G13" s="10"/>
      <c r="H13" s="10"/>
      <c r="I13" s="10"/>
      <c r="J13" s="10"/>
      <c r="K13" s="10"/>
    </row>
    <row r="14" spans="1:11">
      <c r="A14" s="10"/>
      <c r="B14" s="10" t="s">
        <v>56</v>
      </c>
      <c r="C14" s="10"/>
      <c r="D14" s="10">
        <v>0.44</v>
      </c>
      <c r="E14" s="10"/>
      <c r="F14" s="10"/>
      <c r="G14" s="10"/>
      <c r="H14" s="10"/>
      <c r="I14" s="10"/>
      <c r="J14" s="10"/>
      <c r="K14" s="10"/>
    </row>
    <row r="15" spans="1:11">
      <c r="A15" s="10"/>
      <c r="B15" s="10" t="s">
        <v>29</v>
      </c>
      <c r="C15" s="10"/>
      <c r="D15" s="10">
        <v>0.25</v>
      </c>
      <c r="E15" s="10"/>
      <c r="F15" s="10"/>
      <c r="G15" s="10"/>
      <c r="H15" s="10"/>
      <c r="I15" s="10"/>
      <c r="J15" s="10"/>
      <c r="K15" s="10"/>
    </row>
    <row r="16" spans="1:11">
      <c r="A16" s="10"/>
      <c r="B16" s="10" t="s">
        <v>28</v>
      </c>
      <c r="C16" s="10"/>
      <c r="D16" s="10">
        <v>0.25</v>
      </c>
      <c r="E16" s="10"/>
      <c r="F16" s="10"/>
      <c r="G16" s="10"/>
      <c r="H16" s="10"/>
      <c r="I16" s="10"/>
      <c r="J16" s="10"/>
      <c r="K16" s="10"/>
    </row>
    <row r="17" spans="1:13">
      <c r="A17" s="10"/>
      <c r="B17" s="10" t="s">
        <v>159</v>
      </c>
      <c r="C17" s="10"/>
      <c r="D17" s="10">
        <v>4.1799999999999997E-2</v>
      </c>
      <c r="E17" s="10"/>
      <c r="F17" s="10"/>
      <c r="G17" s="10"/>
      <c r="H17" s="10"/>
      <c r="I17" s="10"/>
      <c r="J17" s="10"/>
      <c r="K17" s="10"/>
    </row>
    <row r="18" spans="1:13">
      <c r="A18" s="10"/>
      <c r="B18" s="10" t="s">
        <v>161</v>
      </c>
      <c r="C18" s="10"/>
      <c r="D18" s="10">
        <f>0.42*bm_ash</f>
        <v>2.3099999999999999E-2</v>
      </c>
      <c r="E18" s="10"/>
      <c r="F18" s="10"/>
      <c r="G18" s="10"/>
      <c r="H18" s="10"/>
      <c r="I18" s="10"/>
      <c r="J18" s="10"/>
      <c r="K18" s="10"/>
    </row>
    <row r="19" spans="1:13">
      <c r="B19" t="s">
        <v>506</v>
      </c>
      <c r="C19" t="s">
        <v>101</v>
      </c>
      <c r="D19" s="2">
        <f>100*(0.3491*bm_c+1.1783*bm_h-0.1034*bm_o) * (18.74/19.95)</f>
        <v>18.76367157894737</v>
      </c>
      <c r="E19" s="156" t="s">
        <v>507</v>
      </c>
      <c r="F19" s="2"/>
      <c r="G19" s="156"/>
      <c r="H19" s="156"/>
      <c r="I19" s="156"/>
      <c r="J19" s="156"/>
      <c r="K19" s="156"/>
      <c r="L19" s="2"/>
      <c r="M19" s="2"/>
    </row>
    <row r="20" spans="1:13">
      <c r="A20" s="10"/>
      <c r="B20" s="10"/>
      <c r="C20" s="10"/>
      <c r="E20" s="10"/>
      <c r="F20" s="10"/>
      <c r="G20" s="10"/>
      <c r="H20" s="10"/>
      <c r="I20" s="10"/>
      <c r="J20" s="10"/>
      <c r="K20" s="10"/>
    </row>
    <row r="21" spans="1:13">
      <c r="A21" t="s">
        <v>119</v>
      </c>
      <c r="B21" s="26" t="s">
        <v>152</v>
      </c>
      <c r="C21" s="26" t="s">
        <v>154</v>
      </c>
      <c r="D21" s="16">
        <v>1.3</v>
      </c>
      <c r="E21" s="16"/>
      <c r="F21" s="16"/>
      <c r="G21" s="16"/>
      <c r="H21" s="10"/>
      <c r="I21" s="10"/>
      <c r="J21" s="10"/>
      <c r="K21" s="10"/>
    </row>
    <row r="22" spans="1:13">
      <c r="B22" s="26" t="s">
        <v>153</v>
      </c>
      <c r="C22" s="26" t="s">
        <v>81</v>
      </c>
      <c r="D22" s="16">
        <v>0.25</v>
      </c>
      <c r="E22" s="16"/>
      <c r="F22" s="16"/>
      <c r="G22" s="16"/>
      <c r="H22" s="10"/>
      <c r="I22" s="10"/>
      <c r="J22" s="10"/>
      <c r="K22" s="10"/>
    </row>
    <row r="23" spans="1:13">
      <c r="B23" s="26"/>
      <c r="C23" s="26"/>
      <c r="D23" s="16"/>
      <c r="E23" s="16"/>
      <c r="F23" s="16"/>
      <c r="G23" s="16"/>
      <c r="H23" s="10"/>
      <c r="I23" s="10"/>
      <c r="J23" s="10"/>
      <c r="K23" s="10"/>
    </row>
    <row r="24" spans="1:13">
      <c r="A24" t="s">
        <v>68</v>
      </c>
      <c r="B24" s="26" t="s">
        <v>319</v>
      </c>
      <c r="C24" s="26"/>
      <c r="D24" s="72">
        <v>0.04</v>
      </c>
      <c r="E24" s="16" t="s">
        <v>320</v>
      </c>
      <c r="F24" s="16"/>
      <c r="G24" s="16"/>
      <c r="H24" s="10"/>
      <c r="I24" s="10"/>
      <c r="J24" s="10"/>
      <c r="K24" s="10"/>
    </row>
    <row r="25" spans="1:13">
      <c r="B25" s="26" t="s">
        <v>373</v>
      </c>
      <c r="C25" s="26"/>
      <c r="D25" s="26">
        <v>0.85</v>
      </c>
      <c r="E25" s="16"/>
      <c r="F25" s="16"/>
      <c r="G25" s="16"/>
      <c r="H25" s="10"/>
      <c r="I25" s="10"/>
      <c r="J25" s="10"/>
      <c r="K25" s="10"/>
    </row>
    <row r="26" spans="1:13">
      <c r="A26" s="10"/>
      <c r="B26" s="10"/>
      <c r="C26" s="10"/>
      <c r="E26" s="10"/>
      <c r="F26" s="10"/>
      <c r="G26" s="10"/>
      <c r="H26" s="10"/>
      <c r="I26" s="10"/>
      <c r="J26" s="10"/>
      <c r="K26" s="10"/>
    </row>
    <row r="27" spans="1:13">
      <c r="A27" s="10" t="s">
        <v>227</v>
      </c>
      <c r="B27" s="40" t="s">
        <v>223</v>
      </c>
      <c r="C27" s="40"/>
      <c r="D27" s="41">
        <v>1</v>
      </c>
      <c r="E27" s="42" t="s">
        <v>224</v>
      </c>
      <c r="F27" s="10"/>
      <c r="G27" s="10"/>
      <c r="H27" s="10"/>
      <c r="I27" s="10"/>
      <c r="J27" s="10"/>
      <c r="K27" s="10"/>
    </row>
    <row r="28" spans="1:13">
      <c r="A28" s="10"/>
      <c r="B28" s="42"/>
      <c r="C28" s="42"/>
      <c r="D28" s="41">
        <v>2</v>
      </c>
      <c r="E28" s="42" t="s">
        <v>225</v>
      </c>
      <c r="F28" s="10"/>
      <c r="G28" s="10"/>
      <c r="H28" s="10"/>
      <c r="I28" s="10"/>
      <c r="J28" s="10"/>
      <c r="K28" s="10"/>
    </row>
    <row r="29" spans="1:13">
      <c r="A29" s="10"/>
      <c r="B29" s="42"/>
      <c r="C29" s="42"/>
      <c r="D29" s="41">
        <v>3</v>
      </c>
      <c r="E29" s="42" t="s">
        <v>226</v>
      </c>
      <c r="F29" s="10"/>
      <c r="G29" s="10"/>
      <c r="H29" s="10"/>
      <c r="I29" s="10"/>
      <c r="J29" s="10"/>
      <c r="K29" s="10"/>
    </row>
    <row r="30" spans="1:13">
      <c r="A30" s="10"/>
      <c r="B30" s="41"/>
      <c r="C30" s="41"/>
      <c r="D30" s="41">
        <v>4</v>
      </c>
      <c r="E30" s="41" t="s">
        <v>250</v>
      </c>
      <c r="F30" s="10"/>
      <c r="G30" s="10"/>
      <c r="H30" s="10"/>
      <c r="I30" s="10"/>
      <c r="J30" s="10"/>
      <c r="K30" s="10"/>
    </row>
    <row r="31" spans="1:13">
      <c r="A31" s="10"/>
      <c r="D31"/>
      <c r="F31" s="10"/>
      <c r="G31" s="10"/>
      <c r="H31" s="10"/>
      <c r="I31" s="10"/>
      <c r="J31" s="10"/>
      <c r="K31" s="10"/>
    </row>
    <row r="32" spans="1:13">
      <c r="A32" s="10"/>
      <c r="B32" s="10" t="s">
        <v>231</v>
      </c>
      <c r="C32" s="10"/>
      <c r="D32" s="17" t="b">
        <v>1</v>
      </c>
      <c r="E32" s="10"/>
      <c r="F32" s="10"/>
      <c r="G32" s="10"/>
      <c r="H32" s="10"/>
      <c r="I32" s="10"/>
      <c r="J32" s="10"/>
      <c r="K32" s="10"/>
    </row>
    <row r="33" spans="1:11">
      <c r="A33" s="10"/>
      <c r="B33" s="10"/>
      <c r="C33" s="10"/>
      <c r="D33" s="17"/>
      <c r="E33" s="10"/>
      <c r="F33" s="10"/>
      <c r="G33" s="10"/>
      <c r="H33" s="10"/>
      <c r="I33" s="10"/>
      <c r="J33" s="10"/>
      <c r="K33" s="10"/>
    </row>
    <row r="34" spans="1:11">
      <c r="A34" s="10"/>
      <c r="B34" s="10"/>
      <c r="C34" s="10"/>
      <c r="D34" s="17"/>
      <c r="E34" s="10"/>
      <c r="F34" s="10"/>
      <c r="G34" s="10"/>
      <c r="H34" s="10"/>
      <c r="I34" s="10"/>
      <c r="J34" s="10"/>
      <c r="K34" s="10"/>
    </row>
    <row r="35" spans="1:11">
      <c r="A35" s="10"/>
      <c r="B35" s="10"/>
      <c r="C35" s="10"/>
      <c r="D35" s="17"/>
      <c r="E35" s="10"/>
      <c r="F35" s="10"/>
      <c r="G35" s="10"/>
      <c r="H35" s="10"/>
      <c r="I35" s="10"/>
      <c r="J35" s="10"/>
      <c r="K35" s="10"/>
    </row>
    <row r="36" spans="1:11">
      <c r="A36" s="10"/>
      <c r="B36" s="10"/>
      <c r="C36" s="10"/>
      <c r="D36" s="17"/>
      <c r="E36" s="10"/>
      <c r="F36" s="10"/>
      <c r="G36" s="10"/>
      <c r="H36" s="10"/>
      <c r="I36" s="10"/>
      <c r="J36" s="10"/>
      <c r="K36" s="10"/>
    </row>
    <row r="37" spans="1:11">
      <c r="A37" s="10"/>
      <c r="B37" s="10"/>
      <c r="C37" s="10"/>
      <c r="D37" s="17"/>
      <c r="E37" s="10"/>
      <c r="F37" s="10"/>
      <c r="G37" s="10"/>
      <c r="H37" s="10"/>
      <c r="I37" s="10"/>
      <c r="J37" s="10"/>
      <c r="K37" s="10"/>
    </row>
    <row r="38" spans="1:11">
      <c r="A38" s="10"/>
      <c r="B38" s="10"/>
      <c r="C38" s="10"/>
      <c r="D38" s="17"/>
      <c r="E38" s="10"/>
      <c r="F38" s="10"/>
      <c r="G38" s="10"/>
      <c r="H38" s="10"/>
      <c r="I38" s="10"/>
      <c r="J38" s="10"/>
      <c r="K38" s="10"/>
    </row>
    <row r="39" spans="1:11">
      <c r="A39" s="10"/>
      <c r="B39" s="10"/>
      <c r="C39" s="10"/>
      <c r="D39" s="17"/>
      <c r="E39" s="10"/>
      <c r="F39" s="10"/>
      <c r="G39" s="10"/>
      <c r="H39" s="10"/>
      <c r="I39" s="10"/>
      <c r="J39" s="10"/>
      <c r="K39" s="10"/>
    </row>
    <row r="40" spans="1:11">
      <c r="A40" s="10"/>
      <c r="B40" s="10"/>
      <c r="C40" s="10"/>
      <c r="D40" s="17"/>
      <c r="E40" s="10"/>
      <c r="F40" s="10"/>
      <c r="G40" s="10"/>
      <c r="H40" s="10"/>
      <c r="I40" s="10"/>
      <c r="J40" s="10"/>
      <c r="K40" s="10"/>
    </row>
    <row r="41" spans="1:11">
      <c r="A41" s="10"/>
      <c r="B41" s="10"/>
      <c r="C41" s="10"/>
      <c r="D41" s="17"/>
      <c r="E41" s="10"/>
      <c r="F41" s="10"/>
      <c r="G41" s="10"/>
      <c r="H41" s="10"/>
      <c r="I41" s="10"/>
      <c r="J41" s="10"/>
      <c r="K41" s="10"/>
    </row>
    <row r="42" spans="1:11">
      <c r="A42" s="10"/>
      <c r="B42" s="10"/>
      <c r="C42" s="10"/>
      <c r="D42" s="17"/>
      <c r="E42" s="10"/>
      <c r="F42" s="10"/>
      <c r="G42" s="10"/>
      <c r="H42" s="10"/>
      <c r="I42" s="10"/>
      <c r="J42" s="10"/>
      <c r="K42" s="10"/>
    </row>
    <row r="43" spans="1:11">
      <c r="A43" s="10"/>
      <c r="B43" s="10"/>
      <c r="C43" s="10"/>
      <c r="D43" s="17"/>
      <c r="E43" s="10"/>
      <c r="F43" s="10"/>
      <c r="G43" s="10"/>
      <c r="H43" s="10"/>
      <c r="I43" s="10"/>
      <c r="J43" s="10"/>
      <c r="K43" s="10"/>
    </row>
    <row r="44" spans="1:11">
      <c r="A44" s="10"/>
      <c r="B44" s="10"/>
      <c r="C44" s="10"/>
      <c r="D44" s="17"/>
      <c r="E44" s="10"/>
      <c r="F44" s="10"/>
      <c r="G44" s="10"/>
      <c r="H44" s="10"/>
      <c r="I44" s="10"/>
      <c r="J44" s="10"/>
      <c r="K44" s="10"/>
    </row>
    <row r="45" spans="1:11">
      <c r="A45" s="10"/>
      <c r="B45" s="10"/>
      <c r="C45" s="10"/>
      <c r="D45" s="17"/>
      <c r="E45" s="10"/>
      <c r="F45" s="10"/>
      <c r="G45" s="10"/>
      <c r="H45" s="10"/>
      <c r="I45" s="10"/>
      <c r="J45" s="10"/>
      <c r="K45" s="10"/>
    </row>
    <row r="46" spans="1:11">
      <c r="A46" s="10"/>
      <c r="B46" s="10"/>
      <c r="C46" s="10"/>
      <c r="D46" s="17"/>
      <c r="E46" s="10"/>
      <c r="F46" s="10"/>
      <c r="G46" s="10"/>
      <c r="H46" s="10"/>
      <c r="I46" s="10"/>
      <c r="J46" s="10"/>
      <c r="K46" s="10"/>
    </row>
    <row r="47" spans="1:11">
      <c r="A47" s="10"/>
      <c r="B47" s="10"/>
      <c r="C47" s="10"/>
      <c r="D47" s="17"/>
      <c r="E47" s="10"/>
      <c r="F47" s="10"/>
      <c r="G47" s="10"/>
      <c r="H47" s="10"/>
      <c r="I47" s="10"/>
      <c r="J47" s="10"/>
      <c r="K47" s="10"/>
    </row>
    <row r="48" spans="1:11">
      <c r="A48" s="10"/>
      <c r="B48" s="10"/>
      <c r="C48" s="10"/>
      <c r="D48" s="17"/>
      <c r="E48" s="10"/>
      <c r="F48" s="10"/>
      <c r="G48" s="10"/>
      <c r="H48" s="10"/>
      <c r="I48" s="10"/>
      <c r="J48" s="10"/>
      <c r="K48" s="10"/>
    </row>
    <row r="49" spans="1:11">
      <c r="A49" s="10"/>
      <c r="B49" s="10"/>
      <c r="C49" s="10"/>
      <c r="D49" s="17"/>
      <c r="E49" s="10"/>
      <c r="F49" s="10"/>
      <c r="G49" s="10"/>
      <c r="H49" s="10"/>
      <c r="I49" s="10"/>
      <c r="J49" s="10"/>
      <c r="K49" s="10"/>
    </row>
    <row r="50" spans="1:11">
      <c r="A50" s="10"/>
      <c r="B50" s="10"/>
      <c r="C50" s="10"/>
      <c r="D50" s="17"/>
      <c r="E50" s="10"/>
      <c r="F50" s="10"/>
      <c r="G50" s="10"/>
      <c r="H50" s="10"/>
      <c r="I50" s="10"/>
      <c r="J50" s="10"/>
      <c r="K50" s="10"/>
    </row>
    <row r="51" spans="1:11">
      <c r="A51" s="10"/>
      <c r="B51" s="10"/>
      <c r="C51" s="10"/>
      <c r="D51" s="17"/>
      <c r="E51" s="10"/>
      <c r="F51" s="10"/>
      <c r="G51" s="10"/>
      <c r="H51" s="10"/>
      <c r="I51" s="10"/>
      <c r="J51" s="10"/>
      <c r="K51" s="10"/>
    </row>
    <row r="52" spans="1:11">
      <c r="A52" s="10"/>
      <c r="B52" s="10"/>
      <c r="C52" s="10"/>
      <c r="D52" s="17"/>
      <c r="E52" s="10"/>
      <c r="F52" s="10"/>
      <c r="G52" s="10"/>
      <c r="H52" s="10"/>
      <c r="I52" s="10"/>
      <c r="J52" s="10"/>
      <c r="K52" s="10"/>
    </row>
    <row r="53" spans="1:11">
      <c r="A53" s="10"/>
      <c r="B53" s="10"/>
      <c r="C53" s="10"/>
      <c r="D53" s="17"/>
      <c r="E53" s="10"/>
      <c r="F53" s="10"/>
      <c r="G53" s="10"/>
      <c r="H53" s="10"/>
      <c r="I53" s="10"/>
      <c r="J53" s="10"/>
      <c r="K53" s="10"/>
    </row>
    <row r="54" spans="1:11">
      <c r="A54" s="10"/>
      <c r="B54" s="10"/>
      <c r="C54" s="10"/>
      <c r="D54" s="17"/>
      <c r="E54" s="10"/>
      <c r="F54" s="10"/>
      <c r="G54" s="10"/>
      <c r="H54" s="10"/>
      <c r="I54" s="10"/>
      <c r="J54" s="10"/>
      <c r="K54" s="10"/>
    </row>
    <row r="55" spans="1:11">
      <c r="A55" s="10"/>
      <c r="B55" s="10"/>
      <c r="C55" s="10"/>
      <c r="D55" s="17"/>
      <c r="E55" s="10"/>
      <c r="F55" s="10"/>
      <c r="G55" s="10"/>
      <c r="H55" s="10"/>
      <c r="I55" s="10"/>
      <c r="J55" s="10"/>
      <c r="K55" s="10"/>
    </row>
    <row r="56" spans="1:11">
      <c r="A56" s="10"/>
      <c r="B56" s="10"/>
      <c r="C56" s="10"/>
      <c r="D56" s="17"/>
      <c r="E56" s="10"/>
      <c r="F56" s="10"/>
      <c r="G56" s="10"/>
      <c r="H56" s="10"/>
      <c r="I56" s="10"/>
      <c r="J56" s="10"/>
      <c r="K56" s="10"/>
    </row>
    <row r="57" spans="1:11">
      <c r="A57" s="10"/>
      <c r="B57" s="10"/>
      <c r="C57" s="10"/>
      <c r="D57" s="17"/>
      <c r="E57" s="10"/>
      <c r="F57" s="10"/>
      <c r="G57" s="10"/>
      <c r="H57" s="10"/>
      <c r="I57" s="10"/>
      <c r="J57" s="10"/>
      <c r="K57" s="10"/>
    </row>
    <row r="58" spans="1:11">
      <c r="A58" s="10"/>
      <c r="B58" s="10"/>
      <c r="C58" s="10"/>
      <c r="D58" s="17"/>
      <c r="E58" s="10"/>
      <c r="F58" s="10"/>
      <c r="G58" s="10"/>
      <c r="H58" s="10"/>
      <c r="I58" s="10"/>
      <c r="J58" s="10"/>
      <c r="K58" s="10"/>
    </row>
    <row r="59" spans="1:11">
      <c r="A59" s="10"/>
      <c r="B59" s="10"/>
      <c r="C59" s="10"/>
      <c r="D59" s="17"/>
      <c r="E59" s="10"/>
      <c r="F59" s="10"/>
      <c r="G59" s="10"/>
      <c r="H59" s="10"/>
      <c r="I59" s="10"/>
      <c r="J59" s="10"/>
      <c r="K59" s="10"/>
    </row>
    <row r="60" spans="1:11">
      <c r="A60" s="10"/>
      <c r="B60" s="10"/>
      <c r="C60" s="10"/>
      <c r="D60" s="17"/>
      <c r="E60" s="10"/>
      <c r="F60" s="10"/>
      <c r="G60" s="10"/>
      <c r="H60" s="10"/>
      <c r="I60" s="10"/>
      <c r="J60" s="10"/>
      <c r="K60" s="10"/>
    </row>
    <row r="61" spans="1:11">
      <c r="A61" s="10"/>
      <c r="B61" s="10"/>
      <c r="C61" s="10"/>
      <c r="D61" s="17"/>
      <c r="E61" s="10"/>
      <c r="F61" s="10"/>
      <c r="G61" s="10"/>
      <c r="H61" s="10"/>
      <c r="I61" s="10"/>
      <c r="J61" s="10"/>
      <c r="K61" s="10"/>
    </row>
    <row r="62" spans="1:11">
      <c r="A62" s="10"/>
      <c r="B62" s="10"/>
      <c r="C62" s="10"/>
      <c r="D62" s="17"/>
      <c r="E62" s="10"/>
      <c r="F62" s="10"/>
      <c r="G62" s="10"/>
      <c r="H62" s="10"/>
      <c r="I62" s="10"/>
      <c r="J62" s="10"/>
      <c r="K62" s="10"/>
    </row>
    <row r="63" spans="1:11">
      <c r="A63" s="10"/>
      <c r="B63" s="10"/>
      <c r="C63" s="10"/>
      <c r="D63" s="17"/>
      <c r="E63" s="10"/>
      <c r="F63" s="10"/>
      <c r="G63" s="10"/>
      <c r="H63" s="10"/>
      <c r="I63" s="10"/>
      <c r="J63" s="10"/>
      <c r="K63" s="10"/>
    </row>
    <row r="64" spans="1:11">
      <c r="A64" s="10"/>
      <c r="B64" s="10"/>
      <c r="C64" s="10"/>
      <c r="D64" s="17"/>
      <c r="E64" s="10"/>
      <c r="F64" s="10"/>
      <c r="G64" s="10"/>
      <c r="H64" s="10"/>
      <c r="I64" s="10"/>
      <c r="J64" s="10"/>
      <c r="K64" s="10"/>
    </row>
    <row r="65" spans="1:11">
      <c r="A65" s="10"/>
      <c r="B65" s="10"/>
      <c r="C65" s="10"/>
      <c r="D65" s="17"/>
      <c r="E65" s="10"/>
      <c r="F65" s="10"/>
      <c r="G65" s="10"/>
      <c r="H65" s="10"/>
      <c r="I65" s="10"/>
      <c r="J65" s="10"/>
      <c r="K65" s="10"/>
    </row>
    <row r="66" spans="1:11">
      <c r="A66" s="10"/>
      <c r="B66" s="10"/>
      <c r="C66" s="10"/>
      <c r="D66" s="17"/>
      <c r="E66" s="10"/>
      <c r="F66" s="10"/>
      <c r="G66" s="10"/>
      <c r="H66" s="10"/>
      <c r="I66" s="10"/>
      <c r="J66" s="10"/>
      <c r="K66" s="10"/>
    </row>
    <row r="67" spans="1:11">
      <c r="A67" s="10"/>
      <c r="B67" s="10"/>
      <c r="C67" s="10"/>
      <c r="D67" s="17"/>
      <c r="E67" s="10"/>
      <c r="F67" s="10"/>
      <c r="G67" s="10"/>
      <c r="H67" s="10"/>
      <c r="I67" s="10"/>
      <c r="J67" s="10"/>
      <c r="K67" s="10"/>
    </row>
    <row r="68" spans="1:11">
      <c r="A68" s="10"/>
      <c r="B68" s="10"/>
      <c r="C68" s="10"/>
      <c r="D68" s="17"/>
      <c r="E68" s="10"/>
      <c r="F68" s="10"/>
      <c r="G68" s="10"/>
      <c r="H68" s="10"/>
      <c r="I68" s="10"/>
      <c r="J68" s="10"/>
      <c r="K68" s="10"/>
    </row>
    <row r="69" spans="1:11">
      <c r="A69" s="10"/>
      <c r="B69" s="10"/>
      <c r="C69" s="10"/>
      <c r="D69" s="17"/>
      <c r="E69" s="10"/>
      <c r="F69" s="10"/>
      <c r="G69" s="10"/>
      <c r="H69" s="10"/>
      <c r="I69" s="10"/>
      <c r="J69" s="10"/>
      <c r="K69" s="10"/>
    </row>
    <row r="70" spans="1:11">
      <c r="A70" s="10"/>
      <c r="B70" s="10"/>
      <c r="C70" s="10"/>
      <c r="D70" s="17"/>
      <c r="E70" s="10"/>
      <c r="F70" s="10"/>
      <c r="G70" s="10"/>
      <c r="H70" s="10"/>
      <c r="I70" s="10"/>
      <c r="J70" s="10"/>
      <c r="K70" s="10"/>
    </row>
    <row r="71" spans="1:11">
      <c r="A71" s="10"/>
      <c r="B71" s="10"/>
      <c r="C71" s="10"/>
      <c r="D71" s="17"/>
      <c r="E71" s="10"/>
      <c r="F71" s="10"/>
      <c r="G71" s="10"/>
      <c r="H71" s="10"/>
      <c r="I71" s="10"/>
      <c r="J71" s="10"/>
      <c r="K71" s="10"/>
    </row>
    <row r="72" spans="1:11">
      <c r="A72" s="10"/>
      <c r="B72" s="10"/>
      <c r="C72" s="10"/>
      <c r="D72" s="17"/>
      <c r="E72" s="10"/>
      <c r="F72" s="10"/>
      <c r="G72" s="10"/>
      <c r="H72" s="10"/>
      <c r="I72" s="10"/>
      <c r="J72" s="10"/>
      <c r="K72" s="10"/>
    </row>
    <row r="73" spans="1:11">
      <c r="A73" s="10"/>
      <c r="B73" s="10"/>
      <c r="C73" s="10"/>
      <c r="D73" s="17"/>
      <c r="E73" s="10"/>
      <c r="F73" s="10"/>
      <c r="G73" s="10"/>
      <c r="H73" s="10"/>
      <c r="I73" s="10"/>
      <c r="J73" s="10"/>
      <c r="K73" s="10"/>
    </row>
    <row r="74" spans="1:11">
      <c r="A74" s="10"/>
      <c r="B74" s="10"/>
      <c r="C74" s="10"/>
      <c r="D74" s="17"/>
      <c r="E74" s="10"/>
      <c r="F74" s="10"/>
      <c r="G74" s="10"/>
      <c r="H74" s="10"/>
      <c r="I74" s="10"/>
      <c r="J74" s="10"/>
      <c r="K74" s="10"/>
    </row>
  </sheetData>
  <conditionalFormatting sqref="A5:K5 F6:K18 A9:E18 A6:E6 H21:K25 A32:K74 E26:K29 A26:C29 A30:B31 F30:K31 A20:C20 E20:K20 G19:K19 B19:E19">
    <cfRule type="expression" dxfId="34" priority="7">
      <formula>CellHasFormula</formula>
    </cfRule>
  </conditionalFormatting>
  <conditionalFormatting sqref="A6:D6">
    <cfRule type="expression" dxfId="33" priority="6">
      <formula>CellHasFormula</formula>
    </cfRule>
  </conditionalFormatting>
  <conditionalFormatting sqref="E6">
    <cfRule type="expression" dxfId="32" priority="5">
      <formula>CellHasFormula</formula>
    </cfRule>
  </conditionalFormatting>
  <conditionalFormatting sqref="D21:G25">
    <cfRule type="expression" dxfId="31" priority="4">
      <formula>CellHasFormula</formula>
    </cfRule>
  </conditionalFormatting>
  <conditionalFormatting sqref="B21:C25">
    <cfRule type="expression" dxfId="30" priority="3">
      <formula>CellHasFormula</formula>
    </cfRule>
  </conditionalFormatting>
  <conditionalFormatting sqref="B7:D8">
    <cfRule type="expression" dxfId="29" priority="1">
      <formula>CellHasFormula</formula>
    </cfRule>
  </conditionalFormatting>
  <dataValidations count="1">
    <dataValidation type="list" showInputMessage="1" showErrorMessage="1" sqref="D32">
      <formula1>boolean_values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D43"/>
  <sheetViews>
    <sheetView zoomScale="70" zoomScaleNormal="70" workbookViewId="0">
      <pane ySplit="1245" activePane="bottomLeft"/>
      <selection activeCell="BX4" sqref="BX4:CC36"/>
      <selection pane="bottomLeft" activeCell="N34" sqref="N34"/>
    </sheetView>
  </sheetViews>
  <sheetFormatPr defaultRowHeight="15.75"/>
  <cols>
    <col min="1" max="1" width="12.5703125" style="45" customWidth="1"/>
    <col min="2" max="2" width="15.28515625" bestFit="1" customWidth="1"/>
    <col min="3" max="3" width="30.140625" bestFit="1" customWidth="1"/>
    <col min="4" max="4" width="19.7109375" bestFit="1" customWidth="1"/>
    <col min="5" max="5" width="14.7109375" bestFit="1" customWidth="1"/>
    <col min="6" max="6" width="12.28515625" bestFit="1" customWidth="1"/>
    <col min="7" max="7" width="8.42578125" bestFit="1" customWidth="1"/>
    <col min="8" max="8" width="7.85546875" bestFit="1" customWidth="1"/>
    <col min="9" max="9" width="5.7109375" bestFit="1" customWidth="1"/>
    <col min="10" max="10" width="2" bestFit="1" customWidth="1"/>
    <col min="11" max="11" width="9" customWidth="1"/>
    <col min="12" max="12" width="29.5703125" style="58" customWidth="1"/>
    <col min="13" max="19" width="7.85546875" style="58" customWidth="1"/>
    <col min="20" max="61" width="7.85546875" customWidth="1"/>
  </cols>
  <sheetData>
    <row r="1" spans="1:82" ht="21">
      <c r="A1"/>
      <c r="E1" s="50" t="s">
        <v>237</v>
      </c>
      <c r="F1" s="214" t="s">
        <v>236</v>
      </c>
      <c r="G1" s="214"/>
      <c r="H1" s="214"/>
      <c r="I1" s="214"/>
      <c r="J1" s="214"/>
      <c r="K1" s="214"/>
      <c r="L1" s="214"/>
      <c r="M1" s="215" t="s">
        <v>307</v>
      </c>
      <c r="N1" s="215"/>
      <c r="O1" s="215"/>
      <c r="P1" s="215"/>
      <c r="Q1" s="215"/>
      <c r="R1" s="215"/>
      <c r="S1" s="215"/>
      <c r="T1" s="212" t="s">
        <v>246</v>
      </c>
      <c r="U1" s="212"/>
      <c r="V1" s="212"/>
      <c r="W1" s="212"/>
      <c r="X1" s="212"/>
      <c r="Y1" s="212"/>
      <c r="Z1" s="212"/>
      <c r="AA1" s="213" t="s">
        <v>247</v>
      </c>
      <c r="AB1" s="213"/>
      <c r="AC1" s="213"/>
      <c r="AD1" s="213"/>
      <c r="AE1" s="213"/>
      <c r="AF1" s="213"/>
      <c r="AG1" s="213"/>
      <c r="AH1" s="211" t="s">
        <v>248</v>
      </c>
      <c r="AI1" s="211"/>
      <c r="AJ1" s="211"/>
      <c r="AK1" s="211"/>
      <c r="AL1" s="211"/>
      <c r="AM1" s="211"/>
      <c r="AN1" s="211"/>
      <c r="AO1" s="212" t="s">
        <v>528</v>
      </c>
      <c r="AP1" s="212"/>
      <c r="AQ1" s="212"/>
      <c r="AR1" s="212"/>
      <c r="AS1" s="212"/>
      <c r="AT1" s="212"/>
      <c r="AU1" s="212"/>
      <c r="AV1" s="213" t="s">
        <v>529</v>
      </c>
      <c r="AW1" s="213"/>
      <c r="AX1" s="213"/>
      <c r="AY1" s="213"/>
      <c r="AZ1" s="213"/>
      <c r="BA1" s="213"/>
      <c r="BB1" s="213"/>
      <c r="BC1" s="211" t="s">
        <v>530</v>
      </c>
      <c r="BD1" s="211"/>
      <c r="BE1" s="211"/>
      <c r="BF1" s="211"/>
      <c r="BG1" s="211"/>
      <c r="BH1" s="211"/>
      <c r="BI1" s="211"/>
      <c r="BJ1" s="212" t="s">
        <v>531</v>
      </c>
      <c r="BK1" s="212"/>
      <c r="BL1" s="212"/>
      <c r="BM1" s="212"/>
      <c r="BN1" s="212"/>
      <c r="BO1" s="212"/>
      <c r="BP1" s="212"/>
      <c r="BQ1" s="213" t="s">
        <v>532</v>
      </c>
      <c r="BR1" s="213"/>
      <c r="BS1" s="213"/>
      <c r="BT1" s="213"/>
      <c r="BU1" s="213"/>
      <c r="BV1" s="213"/>
      <c r="BW1" s="213"/>
      <c r="BX1" s="211" t="s">
        <v>533</v>
      </c>
      <c r="BY1" s="211"/>
      <c r="BZ1" s="211"/>
      <c r="CA1" s="211"/>
      <c r="CB1" s="211"/>
      <c r="CC1" s="211"/>
      <c r="CD1" s="211"/>
    </row>
    <row r="2" spans="1:82" ht="21" customHeight="1">
      <c r="A2"/>
      <c r="E2" s="50" t="s">
        <v>238</v>
      </c>
      <c r="F2" s="48"/>
      <c r="G2" s="48"/>
      <c r="H2" s="48"/>
      <c r="I2" s="48"/>
      <c r="J2" s="48"/>
      <c r="K2" s="48"/>
      <c r="L2" s="48"/>
      <c r="M2" s="70"/>
      <c r="N2" s="70"/>
      <c r="O2" s="70"/>
      <c r="P2" s="70"/>
      <c r="Q2" s="70"/>
      <c r="R2" s="70"/>
      <c r="S2" s="70"/>
      <c r="T2" s="51"/>
      <c r="U2" s="51"/>
      <c r="V2" s="51"/>
      <c r="W2" s="51"/>
      <c r="X2" s="51"/>
      <c r="Y2" s="51"/>
      <c r="Z2" s="51"/>
      <c r="AA2" s="55"/>
      <c r="AB2" s="55"/>
      <c r="AC2" s="55"/>
      <c r="AD2" s="55"/>
      <c r="AE2" s="55"/>
      <c r="AF2" s="55"/>
      <c r="AG2" s="55"/>
      <c r="AH2" s="174"/>
      <c r="AI2" s="174"/>
      <c r="AJ2" s="174"/>
      <c r="AK2" s="174"/>
      <c r="AL2" s="174"/>
      <c r="AM2" s="174"/>
      <c r="AN2" s="174"/>
      <c r="AO2" s="51"/>
      <c r="AP2" s="51"/>
      <c r="AQ2" s="51"/>
      <c r="AR2" s="51"/>
      <c r="AS2" s="51"/>
      <c r="AT2" s="51"/>
      <c r="AU2" s="51"/>
      <c r="AV2" s="55"/>
      <c r="AW2" s="55"/>
      <c r="AX2" s="55"/>
      <c r="AY2" s="55"/>
      <c r="AZ2" s="55"/>
      <c r="BA2" s="55"/>
      <c r="BB2" s="55"/>
      <c r="BC2" s="174"/>
      <c r="BD2" s="174"/>
      <c r="BE2" s="174"/>
      <c r="BF2" s="174"/>
      <c r="BG2" s="174"/>
      <c r="BH2" s="174"/>
      <c r="BI2" s="174"/>
      <c r="BJ2" s="51"/>
      <c r="BK2" s="51"/>
      <c r="BL2" s="51"/>
      <c r="BM2" s="51"/>
      <c r="BN2" s="51"/>
      <c r="BO2" s="51"/>
      <c r="BP2" s="51"/>
      <c r="BQ2" s="55"/>
      <c r="BR2" s="55"/>
      <c r="BS2" s="55"/>
      <c r="BT2" s="55"/>
      <c r="BU2" s="55"/>
      <c r="BV2" s="55"/>
      <c r="BW2" s="55"/>
      <c r="BX2" s="174"/>
      <c r="BY2" s="174"/>
      <c r="BZ2" s="174"/>
      <c r="CA2" s="174"/>
      <c r="CB2" s="174"/>
      <c r="CC2" s="174"/>
      <c r="CD2" s="174"/>
    </row>
    <row r="3" spans="1:82" s="45" customFormat="1">
      <c r="A3" s="44" t="s">
        <v>234</v>
      </c>
      <c r="B3" s="44" t="s">
        <v>178</v>
      </c>
      <c r="C3" s="44" t="s">
        <v>179</v>
      </c>
      <c r="D3" s="44" t="s">
        <v>201</v>
      </c>
      <c r="E3" s="44" t="s">
        <v>174</v>
      </c>
      <c r="F3" s="49" t="s">
        <v>180</v>
      </c>
      <c r="G3" s="49" t="s">
        <v>181</v>
      </c>
      <c r="H3" s="49" t="s">
        <v>18</v>
      </c>
      <c r="I3" s="49" t="s">
        <v>221</v>
      </c>
      <c r="J3" s="49" t="s">
        <v>222</v>
      </c>
      <c r="K3" s="49"/>
      <c r="L3" s="57" t="s">
        <v>239</v>
      </c>
      <c r="M3" s="71" t="s">
        <v>180</v>
      </c>
      <c r="N3" s="71" t="s">
        <v>181</v>
      </c>
      <c r="O3" s="71" t="s">
        <v>18</v>
      </c>
      <c r="P3" s="71" t="s">
        <v>221</v>
      </c>
      <c r="Q3" s="71" t="s">
        <v>222</v>
      </c>
      <c r="R3" s="71"/>
      <c r="S3" s="71" t="s">
        <v>239</v>
      </c>
      <c r="T3" s="52" t="s">
        <v>180</v>
      </c>
      <c r="U3" s="52" t="s">
        <v>181</v>
      </c>
      <c r="V3" s="52" t="s">
        <v>18</v>
      </c>
      <c r="W3" s="52" t="s">
        <v>221</v>
      </c>
      <c r="X3" s="52" t="s">
        <v>222</v>
      </c>
      <c r="Y3" s="52"/>
      <c r="Z3" s="52" t="s">
        <v>239</v>
      </c>
      <c r="AA3" s="56" t="s">
        <v>180</v>
      </c>
      <c r="AB3" s="56" t="s">
        <v>181</v>
      </c>
      <c r="AC3" s="56" t="s">
        <v>18</v>
      </c>
      <c r="AD3" s="56" t="s">
        <v>221</v>
      </c>
      <c r="AE3" s="56" t="s">
        <v>222</v>
      </c>
      <c r="AF3" s="56"/>
      <c r="AG3" s="56" t="s">
        <v>239</v>
      </c>
      <c r="AH3" s="175" t="s">
        <v>180</v>
      </c>
      <c r="AI3" s="175" t="s">
        <v>181</v>
      </c>
      <c r="AJ3" s="175" t="s">
        <v>18</v>
      </c>
      <c r="AK3" s="175" t="s">
        <v>221</v>
      </c>
      <c r="AL3" s="175" t="s">
        <v>222</v>
      </c>
      <c r="AM3" s="175"/>
      <c r="AN3" s="175" t="s">
        <v>239</v>
      </c>
      <c r="AO3" s="52" t="s">
        <v>180</v>
      </c>
      <c r="AP3" s="52" t="s">
        <v>181</v>
      </c>
      <c r="AQ3" s="52" t="s">
        <v>18</v>
      </c>
      <c r="AR3" s="52" t="s">
        <v>221</v>
      </c>
      <c r="AS3" s="52" t="s">
        <v>222</v>
      </c>
      <c r="AT3" s="52"/>
      <c r="AU3" s="52" t="s">
        <v>239</v>
      </c>
      <c r="AV3" s="56" t="s">
        <v>180</v>
      </c>
      <c r="AW3" s="56" t="s">
        <v>181</v>
      </c>
      <c r="AX3" s="56" t="s">
        <v>18</v>
      </c>
      <c r="AY3" s="56" t="s">
        <v>221</v>
      </c>
      <c r="AZ3" s="56" t="s">
        <v>222</v>
      </c>
      <c r="BA3" s="56"/>
      <c r="BB3" s="56" t="s">
        <v>239</v>
      </c>
      <c r="BC3" s="175" t="s">
        <v>180</v>
      </c>
      <c r="BD3" s="175" t="s">
        <v>181</v>
      </c>
      <c r="BE3" s="175" t="s">
        <v>18</v>
      </c>
      <c r="BF3" s="175" t="s">
        <v>221</v>
      </c>
      <c r="BG3" s="175" t="s">
        <v>222</v>
      </c>
      <c r="BH3" s="175"/>
      <c r="BI3" s="175" t="s">
        <v>239</v>
      </c>
      <c r="BJ3" s="52" t="s">
        <v>180</v>
      </c>
      <c r="BK3" s="52" t="s">
        <v>181</v>
      </c>
      <c r="BL3" s="52" t="s">
        <v>18</v>
      </c>
      <c r="BM3" s="52" t="s">
        <v>221</v>
      </c>
      <c r="BN3" s="52" t="s">
        <v>222</v>
      </c>
      <c r="BO3" s="52"/>
      <c r="BP3" s="52" t="s">
        <v>239</v>
      </c>
      <c r="BQ3" s="56" t="s">
        <v>180</v>
      </c>
      <c r="BR3" s="56" t="s">
        <v>181</v>
      </c>
      <c r="BS3" s="56" t="s">
        <v>18</v>
      </c>
      <c r="BT3" s="56" t="s">
        <v>221</v>
      </c>
      <c r="BU3" s="56" t="s">
        <v>222</v>
      </c>
      <c r="BV3" s="56"/>
      <c r="BW3" s="56" t="s">
        <v>239</v>
      </c>
      <c r="BX3" s="175" t="s">
        <v>180</v>
      </c>
      <c r="BY3" s="175" t="s">
        <v>181</v>
      </c>
      <c r="BZ3" s="175" t="s">
        <v>18</v>
      </c>
      <c r="CA3" s="175" t="s">
        <v>221</v>
      </c>
      <c r="CB3" s="175" t="s">
        <v>222</v>
      </c>
      <c r="CC3" s="175"/>
      <c r="CD3" s="175" t="s">
        <v>239</v>
      </c>
    </row>
    <row r="4" spans="1:82" s="45" customFormat="1">
      <c r="A4" s="123" t="s">
        <v>468</v>
      </c>
      <c r="B4" s="123"/>
      <c r="C4" s="123"/>
      <c r="D4" s="123"/>
      <c r="E4" s="123"/>
      <c r="F4" s="53" t="s">
        <v>467</v>
      </c>
      <c r="G4" s="53"/>
      <c r="H4" s="53"/>
      <c r="I4" s="124"/>
      <c r="J4" s="124"/>
      <c r="K4" s="124"/>
      <c r="L4" s="125"/>
      <c r="M4" s="53">
        <v>2014</v>
      </c>
      <c r="N4" s="53"/>
      <c r="O4" s="53"/>
      <c r="P4" s="128"/>
      <c r="Q4" s="128"/>
      <c r="R4" s="128"/>
      <c r="S4" s="128"/>
      <c r="T4" s="53" t="s">
        <v>522</v>
      </c>
      <c r="U4" s="53"/>
      <c r="V4" s="53"/>
      <c r="W4" s="126"/>
      <c r="X4" s="126"/>
      <c r="Y4" s="126"/>
      <c r="Z4" s="126"/>
      <c r="AA4" s="53" t="s">
        <v>523</v>
      </c>
      <c r="AB4" s="53"/>
      <c r="AC4" s="53"/>
      <c r="AD4" s="127"/>
      <c r="AE4" s="127"/>
      <c r="AF4" s="127"/>
      <c r="AG4" s="127"/>
      <c r="AH4" s="53" t="s">
        <v>524</v>
      </c>
      <c r="AI4" s="176"/>
      <c r="AJ4" s="176"/>
      <c r="AK4" s="47"/>
      <c r="AL4" s="47"/>
      <c r="AM4" s="47"/>
      <c r="AN4" s="47"/>
      <c r="AO4" s="53" t="s">
        <v>525</v>
      </c>
      <c r="AP4" s="53"/>
      <c r="AQ4" s="53"/>
      <c r="AR4" s="126"/>
      <c r="AS4" s="126"/>
      <c r="AT4" s="126"/>
      <c r="AU4" s="126"/>
      <c r="AV4" s="53" t="s">
        <v>526</v>
      </c>
      <c r="AW4" s="53"/>
      <c r="AX4" s="53"/>
      <c r="AY4" s="127"/>
      <c r="AZ4" s="127"/>
      <c r="BA4" s="127"/>
      <c r="BB4" s="127"/>
      <c r="BC4" s="53" t="s">
        <v>527</v>
      </c>
      <c r="BD4" s="53"/>
      <c r="BE4" s="53"/>
      <c r="BF4" s="47"/>
      <c r="BG4" s="47"/>
      <c r="BH4" s="47"/>
      <c r="BI4" s="47"/>
      <c r="BJ4" s="53" t="s">
        <v>552</v>
      </c>
      <c r="BK4" s="53"/>
      <c r="BL4" s="53"/>
      <c r="BM4" s="126"/>
      <c r="BN4" s="126"/>
      <c r="BO4" s="126"/>
      <c r="BP4" s="126"/>
      <c r="BQ4" s="53" t="s">
        <v>553</v>
      </c>
      <c r="BR4" s="53"/>
      <c r="BS4" s="53"/>
      <c r="BT4" s="127"/>
      <c r="BU4" s="127"/>
      <c r="BV4" s="127"/>
      <c r="BW4" s="127"/>
      <c r="BX4" s="53" t="s">
        <v>554</v>
      </c>
      <c r="BY4" s="53"/>
      <c r="BZ4" s="53"/>
      <c r="CA4" s="47"/>
      <c r="CB4" s="47"/>
      <c r="CC4" s="47"/>
      <c r="CD4" s="47"/>
    </row>
    <row r="5" spans="1:82">
      <c r="A5" s="46" t="s">
        <v>184</v>
      </c>
      <c r="B5" s="23" t="s">
        <v>176</v>
      </c>
      <c r="C5" s="23" t="s">
        <v>2</v>
      </c>
      <c r="D5" s="23" t="s">
        <v>202</v>
      </c>
      <c r="E5" s="23"/>
      <c r="F5" s="53">
        <f t="shared" ref="F5:F11" si="0">MIN(T5,AA5,AH5,M5)</f>
        <v>1.4999999999999999E-2</v>
      </c>
      <c r="G5" s="53">
        <v>0.06</v>
      </c>
      <c r="H5" s="53">
        <f t="shared" ref="H5:H21" si="1">AVERAGE(F5:G5)</f>
        <v>3.7499999999999999E-2</v>
      </c>
      <c r="I5" s="16"/>
      <c r="J5" s="26">
        <v>1</v>
      </c>
      <c r="K5" s="16" t="str">
        <f>CHOOSE(J5,"Flat","Normal","Log-normal")</f>
        <v>Flat</v>
      </c>
      <c r="L5" s="58" t="s">
        <v>241</v>
      </c>
      <c r="M5" s="53">
        <v>1.4999999999999999E-2</v>
      </c>
      <c r="N5" s="53">
        <v>0.06</v>
      </c>
      <c r="O5" s="53">
        <v>0.03</v>
      </c>
      <c r="P5" s="16"/>
      <c r="Q5" s="26">
        <v>1</v>
      </c>
      <c r="R5" s="16" t="str">
        <f>CHOOSE(Q5,"Flat","Normal","Log-normal")</f>
        <v>Flat</v>
      </c>
      <c r="S5"/>
      <c r="T5" s="53">
        <v>1.4999999999999999E-2</v>
      </c>
      <c r="U5" s="53">
        <v>0.06</v>
      </c>
      <c r="V5" s="53">
        <v>0.03</v>
      </c>
      <c r="W5" s="16"/>
      <c r="X5" s="26">
        <v>1</v>
      </c>
      <c r="Y5" s="16" t="str">
        <f>CHOOSE(X5,"Flat","Normal","Log-normal")</f>
        <v>Flat</v>
      </c>
      <c r="AA5" s="53">
        <v>1.4999999999999999E-2</v>
      </c>
      <c r="AB5" s="53">
        <v>0.06</v>
      </c>
      <c r="AC5" s="53">
        <v>0.03</v>
      </c>
      <c r="AD5" s="16"/>
      <c r="AE5" s="26">
        <v>1</v>
      </c>
      <c r="AF5" s="16" t="str">
        <f>CHOOSE(AE5,"Flat","Normal","Log-normal")</f>
        <v>Flat</v>
      </c>
      <c r="AH5" s="53">
        <v>1.4999999999999999E-2</v>
      </c>
      <c r="AI5" s="53">
        <v>0.06</v>
      </c>
      <c r="AJ5" s="53">
        <v>0.03</v>
      </c>
      <c r="AK5" s="16"/>
      <c r="AL5" s="26">
        <v>1</v>
      </c>
      <c r="AM5" s="16" t="str">
        <f>CHOOSE(AL5,"Flat","Normal","Log-normal")</f>
        <v>Flat</v>
      </c>
      <c r="AO5" s="53">
        <f>IF(T5&lt;&gt;"",T5,"")</f>
        <v>1.4999999999999999E-2</v>
      </c>
      <c r="AP5" s="53">
        <f t="shared" ref="AP5:CD11" si="2">IF(U5&lt;&gt;"",U5,"")</f>
        <v>0.06</v>
      </c>
      <c r="AQ5" s="53">
        <f t="shared" si="2"/>
        <v>0.03</v>
      </c>
      <c r="AR5" s="53" t="str">
        <f t="shared" si="2"/>
        <v/>
      </c>
      <c r="AS5" s="53">
        <f t="shared" si="2"/>
        <v>1</v>
      </c>
      <c r="AT5" s="53" t="str">
        <f t="shared" si="2"/>
        <v>Flat</v>
      </c>
      <c r="AU5" s="53" t="str">
        <f t="shared" si="2"/>
        <v/>
      </c>
      <c r="AV5" s="53">
        <f t="shared" si="2"/>
        <v>1.4999999999999999E-2</v>
      </c>
      <c r="AW5" s="53">
        <f t="shared" si="2"/>
        <v>0.06</v>
      </c>
      <c r="AX5" s="53">
        <f t="shared" si="2"/>
        <v>0.03</v>
      </c>
      <c r="AY5" s="53" t="str">
        <f t="shared" si="2"/>
        <v/>
      </c>
      <c r="AZ5" s="53">
        <f t="shared" si="2"/>
        <v>1</v>
      </c>
      <c r="BA5" s="53" t="str">
        <f t="shared" si="2"/>
        <v>Flat</v>
      </c>
      <c r="BB5" s="53" t="str">
        <f t="shared" si="2"/>
        <v/>
      </c>
      <c r="BC5" s="53">
        <f t="shared" si="2"/>
        <v>1.4999999999999999E-2</v>
      </c>
      <c r="BD5" s="53">
        <f t="shared" si="2"/>
        <v>0.06</v>
      </c>
      <c r="BE5" s="53">
        <f t="shared" si="2"/>
        <v>0.03</v>
      </c>
      <c r="BF5" s="53" t="str">
        <f t="shared" si="2"/>
        <v/>
      </c>
      <c r="BG5" s="53">
        <f t="shared" si="2"/>
        <v>1</v>
      </c>
      <c r="BH5" s="53" t="str">
        <f t="shared" si="2"/>
        <v>Flat</v>
      </c>
      <c r="BI5" s="53" t="str">
        <f t="shared" si="2"/>
        <v/>
      </c>
      <c r="BJ5" s="53">
        <f t="shared" si="2"/>
        <v>1.4999999999999999E-2</v>
      </c>
      <c r="BK5" s="53">
        <f t="shared" si="2"/>
        <v>0.06</v>
      </c>
      <c r="BL5" s="53">
        <f t="shared" si="2"/>
        <v>0.03</v>
      </c>
      <c r="BM5" s="53" t="str">
        <f t="shared" si="2"/>
        <v/>
      </c>
      <c r="BN5" s="53">
        <f t="shared" si="2"/>
        <v>1</v>
      </c>
      <c r="BO5" s="53" t="str">
        <f t="shared" si="2"/>
        <v>Flat</v>
      </c>
      <c r="BP5" s="53" t="str">
        <f t="shared" si="2"/>
        <v/>
      </c>
      <c r="BQ5" s="53">
        <f t="shared" si="2"/>
        <v>1.4999999999999999E-2</v>
      </c>
      <c r="BR5" s="53">
        <f t="shared" si="2"/>
        <v>0.06</v>
      </c>
      <c r="BS5" s="53">
        <f t="shared" si="2"/>
        <v>0.03</v>
      </c>
      <c r="BT5" s="53" t="str">
        <f t="shared" si="2"/>
        <v/>
      </c>
      <c r="BU5" s="53">
        <f t="shared" si="2"/>
        <v>1</v>
      </c>
      <c r="BV5" s="53" t="str">
        <f t="shared" si="2"/>
        <v>Flat</v>
      </c>
      <c r="BW5" s="53" t="str">
        <f t="shared" si="2"/>
        <v/>
      </c>
      <c r="BX5" s="53">
        <f t="shared" si="2"/>
        <v>1.4999999999999999E-2</v>
      </c>
      <c r="BY5" s="53">
        <f t="shared" si="2"/>
        <v>0.06</v>
      </c>
      <c r="BZ5" s="53">
        <f t="shared" si="2"/>
        <v>0.03</v>
      </c>
      <c r="CA5" s="53" t="str">
        <f t="shared" si="2"/>
        <v/>
      </c>
      <c r="CB5" s="53">
        <f t="shared" si="2"/>
        <v>1</v>
      </c>
      <c r="CC5" s="53" t="str">
        <f t="shared" si="2"/>
        <v>Flat</v>
      </c>
      <c r="CD5" s="53" t="str">
        <f t="shared" si="2"/>
        <v/>
      </c>
    </row>
    <row r="6" spans="1:82">
      <c r="A6" s="46"/>
      <c r="B6" s="23"/>
      <c r="C6" s="23" t="s">
        <v>159</v>
      </c>
      <c r="D6" s="23" t="s">
        <v>536</v>
      </c>
      <c r="E6" s="23"/>
      <c r="F6" s="53">
        <f t="shared" si="0"/>
        <v>2E-3</v>
      </c>
      <c r="G6" s="53">
        <f t="shared" ref="G6:G11" si="3">MAX(U6,AB6,AI6,N6)</f>
        <v>0.108</v>
      </c>
      <c r="H6" s="53">
        <f t="shared" si="1"/>
        <v>5.5E-2</v>
      </c>
      <c r="I6" s="16"/>
      <c r="J6" s="26">
        <v>1</v>
      </c>
      <c r="K6" s="16" t="str">
        <f t="shared" ref="K6:K36" si="4">CHOOSE(J6,"Flat","Normal","Log-normal")</f>
        <v>Flat</v>
      </c>
      <c r="L6" t="s">
        <v>537</v>
      </c>
      <c r="M6" s="53">
        <v>2E-3</v>
      </c>
      <c r="N6" s="53">
        <v>0.108</v>
      </c>
      <c r="O6" s="53">
        <f>AVERAGE(M6:N6)</f>
        <v>5.5E-2</v>
      </c>
      <c r="P6" s="16"/>
      <c r="Q6" s="26">
        <v>1</v>
      </c>
      <c r="R6" s="16" t="str">
        <f t="shared" ref="R6:R36" si="5">CHOOSE(Q6,"Flat","Normal","Log-normal")</f>
        <v>Flat</v>
      </c>
      <c r="S6"/>
      <c r="T6" s="53">
        <v>2E-3</v>
      </c>
      <c r="U6" s="53">
        <v>0.108</v>
      </c>
      <c r="V6" s="53">
        <f>AVERAGE(T6:U6)</f>
        <v>5.5E-2</v>
      </c>
      <c r="W6" s="16"/>
      <c r="X6" s="26">
        <v>1</v>
      </c>
      <c r="Y6" s="16" t="str">
        <f t="shared" ref="Y6:Y36" si="6">CHOOSE(X6,"Flat","Normal","Log-normal")</f>
        <v>Flat</v>
      </c>
      <c r="AA6" s="53">
        <v>2E-3</v>
      </c>
      <c r="AB6" s="53">
        <v>0.108</v>
      </c>
      <c r="AC6" s="53">
        <f>AVERAGE(AA6:AB6)</f>
        <v>5.5E-2</v>
      </c>
      <c r="AD6" s="16"/>
      <c r="AE6" s="26">
        <v>1</v>
      </c>
      <c r="AF6" s="16" t="str">
        <f t="shared" ref="AF6:AF36" si="7">CHOOSE(AE6,"Flat","Normal","Log-normal")</f>
        <v>Flat</v>
      </c>
      <c r="AH6" s="53">
        <v>2E-3</v>
      </c>
      <c r="AI6" s="53">
        <v>0.108</v>
      </c>
      <c r="AJ6" s="53">
        <f>AVERAGE(AH6:AI6)</f>
        <v>5.5E-2</v>
      </c>
      <c r="AK6" s="16"/>
      <c r="AL6" s="26">
        <v>1</v>
      </c>
      <c r="AM6" s="16" t="str">
        <f t="shared" ref="AM6:AM36" si="8">CHOOSE(AL6,"Flat","Normal","Log-normal")</f>
        <v>Flat</v>
      </c>
      <c r="AO6" s="53">
        <f t="shared" ref="AO6:AO36" si="9">IF(T6&lt;&gt;"",T6,"")</f>
        <v>2E-3</v>
      </c>
      <c r="AP6" s="53">
        <f t="shared" si="2"/>
        <v>0.108</v>
      </c>
      <c r="AQ6" s="53">
        <f t="shared" si="2"/>
        <v>5.5E-2</v>
      </c>
      <c r="AR6" s="53" t="str">
        <f t="shared" si="2"/>
        <v/>
      </c>
      <c r="AS6" s="53">
        <f t="shared" si="2"/>
        <v>1</v>
      </c>
      <c r="AT6" s="53" t="str">
        <f t="shared" si="2"/>
        <v>Flat</v>
      </c>
      <c r="AU6" s="53" t="str">
        <f t="shared" si="2"/>
        <v/>
      </c>
      <c r="AV6" s="53">
        <f t="shared" si="2"/>
        <v>2E-3</v>
      </c>
      <c r="AW6" s="53">
        <f t="shared" si="2"/>
        <v>0.108</v>
      </c>
      <c r="AX6" s="53">
        <f t="shared" si="2"/>
        <v>5.5E-2</v>
      </c>
      <c r="AY6" s="53" t="str">
        <f t="shared" si="2"/>
        <v/>
      </c>
      <c r="AZ6" s="53">
        <f t="shared" si="2"/>
        <v>1</v>
      </c>
      <c r="BA6" s="53" t="str">
        <f t="shared" si="2"/>
        <v>Flat</v>
      </c>
      <c r="BB6" s="53" t="str">
        <f t="shared" si="2"/>
        <v/>
      </c>
      <c r="BC6" s="53">
        <f t="shared" si="2"/>
        <v>2E-3</v>
      </c>
      <c r="BD6" s="53">
        <f t="shared" si="2"/>
        <v>0.108</v>
      </c>
      <c r="BE6" s="53">
        <f t="shared" si="2"/>
        <v>5.5E-2</v>
      </c>
      <c r="BF6" s="53" t="str">
        <f t="shared" si="2"/>
        <v/>
      </c>
      <c r="BG6" s="53">
        <f t="shared" si="2"/>
        <v>1</v>
      </c>
      <c r="BH6" s="53" t="str">
        <f t="shared" si="2"/>
        <v>Flat</v>
      </c>
      <c r="BI6" s="53" t="str">
        <f t="shared" si="2"/>
        <v/>
      </c>
      <c r="BJ6" s="53">
        <f t="shared" si="2"/>
        <v>2E-3</v>
      </c>
      <c r="BK6" s="53">
        <f t="shared" si="2"/>
        <v>0.108</v>
      </c>
      <c r="BL6" s="53">
        <f t="shared" si="2"/>
        <v>5.5E-2</v>
      </c>
      <c r="BM6" s="53" t="str">
        <f t="shared" si="2"/>
        <v/>
      </c>
      <c r="BN6" s="53">
        <f t="shared" si="2"/>
        <v>1</v>
      </c>
      <c r="BO6" s="53" t="str">
        <f t="shared" si="2"/>
        <v>Flat</v>
      </c>
      <c r="BP6" s="53" t="str">
        <f t="shared" si="2"/>
        <v/>
      </c>
      <c r="BQ6" s="53">
        <f t="shared" si="2"/>
        <v>2E-3</v>
      </c>
      <c r="BR6" s="53">
        <f t="shared" si="2"/>
        <v>0.108</v>
      </c>
      <c r="BS6" s="53">
        <f t="shared" si="2"/>
        <v>5.5E-2</v>
      </c>
      <c r="BT6" s="53" t="str">
        <f t="shared" si="2"/>
        <v/>
      </c>
      <c r="BU6" s="53">
        <f t="shared" si="2"/>
        <v>1</v>
      </c>
      <c r="BV6" s="53" t="str">
        <f t="shared" si="2"/>
        <v>Flat</v>
      </c>
      <c r="BW6" s="53" t="str">
        <f t="shared" si="2"/>
        <v/>
      </c>
      <c r="BX6" s="53">
        <f t="shared" si="2"/>
        <v>2E-3</v>
      </c>
      <c r="BY6" s="53">
        <f t="shared" si="2"/>
        <v>0.108</v>
      </c>
      <c r="BZ6" s="53">
        <f t="shared" si="2"/>
        <v>5.5E-2</v>
      </c>
      <c r="CA6" s="53" t="str">
        <f t="shared" si="2"/>
        <v/>
      </c>
      <c r="CB6" s="53">
        <f t="shared" si="2"/>
        <v>1</v>
      </c>
      <c r="CC6" s="53" t="str">
        <f t="shared" si="2"/>
        <v>Flat</v>
      </c>
      <c r="CD6" s="53" t="str">
        <f t="shared" si="2"/>
        <v/>
      </c>
    </row>
    <row r="7" spans="1:82">
      <c r="A7" s="46"/>
      <c r="B7" s="23"/>
      <c r="C7" s="23" t="s">
        <v>584</v>
      </c>
      <c r="D7" s="23" t="s">
        <v>586</v>
      </c>
      <c r="E7" s="23"/>
      <c r="F7" s="53">
        <f t="shared" si="0"/>
        <v>1</v>
      </c>
      <c r="G7" s="53">
        <f t="shared" si="3"/>
        <v>2.1608999999999998</v>
      </c>
      <c r="H7" s="53">
        <f t="shared" si="1"/>
        <v>1.5804499999999999</v>
      </c>
      <c r="I7" s="16"/>
      <c r="J7" s="26">
        <v>1</v>
      </c>
      <c r="K7" s="16" t="str">
        <f t="shared" si="4"/>
        <v>Flat</v>
      </c>
      <c r="L7" t="s">
        <v>252</v>
      </c>
      <c r="M7" s="53">
        <v>1</v>
      </c>
      <c r="N7" s="53">
        <v>1</v>
      </c>
      <c r="O7" s="53">
        <f>(M7+N7)/2</f>
        <v>1</v>
      </c>
      <c r="P7" s="16"/>
      <c r="Q7" s="26">
        <v>1</v>
      </c>
      <c r="R7" s="16" t="str">
        <f t="shared" si="5"/>
        <v>Flat</v>
      </c>
      <c r="S7"/>
      <c r="T7" s="53">
        <v>1.05</v>
      </c>
      <c r="U7" s="53">
        <f>1.05*1.05</f>
        <v>1.1025</v>
      </c>
      <c r="V7" s="53">
        <f>(T7+U7)/2</f>
        <v>1.0762499999999999</v>
      </c>
      <c r="W7" s="16"/>
      <c r="X7" s="26">
        <v>1</v>
      </c>
      <c r="Y7" s="16" t="str">
        <f t="shared" si="6"/>
        <v>Flat</v>
      </c>
      <c r="AA7" s="53">
        <f>(AH7-T7)*30/80+T7</f>
        <v>1.1011875</v>
      </c>
      <c r="AB7" s="53">
        <f>(AI7-U7)*30/80+U7</f>
        <v>1.4994000000000001</v>
      </c>
      <c r="AC7" s="53">
        <f>(AA7+AB7)/2</f>
        <v>1.30029375</v>
      </c>
      <c r="AE7" s="26">
        <v>1</v>
      </c>
      <c r="AF7" s="16" t="str">
        <f t="shared" si="7"/>
        <v>Flat</v>
      </c>
      <c r="AG7" s="16" t="s">
        <v>253</v>
      </c>
      <c r="AH7" s="53">
        <f>T7*1.13</f>
        <v>1.1864999999999999</v>
      </c>
      <c r="AI7" s="53">
        <f>U7*1.96</f>
        <v>2.1608999999999998</v>
      </c>
      <c r="AJ7" s="53">
        <f>(AH7+AI7)/2</f>
        <v>1.6736999999999997</v>
      </c>
      <c r="AK7" s="16"/>
      <c r="AL7" s="26">
        <v>1</v>
      </c>
      <c r="AM7" s="16" t="str">
        <f t="shared" si="8"/>
        <v>Flat</v>
      </c>
      <c r="AN7" t="s">
        <v>585</v>
      </c>
      <c r="AO7" s="53">
        <f t="shared" si="9"/>
        <v>1.05</v>
      </c>
      <c r="AP7" s="53">
        <f t="shared" si="2"/>
        <v>1.1025</v>
      </c>
      <c r="AQ7" s="53">
        <f t="shared" si="2"/>
        <v>1.0762499999999999</v>
      </c>
      <c r="AR7" s="53" t="str">
        <f t="shared" si="2"/>
        <v/>
      </c>
      <c r="AS7" s="53">
        <f t="shared" si="2"/>
        <v>1</v>
      </c>
      <c r="AT7" s="53" t="str">
        <f t="shared" si="2"/>
        <v>Flat</v>
      </c>
      <c r="AU7" s="53" t="str">
        <f t="shared" si="2"/>
        <v/>
      </c>
      <c r="AV7" s="53">
        <f t="shared" si="2"/>
        <v>1.1011875</v>
      </c>
      <c r="AW7" s="53">
        <f t="shared" si="2"/>
        <v>1.4994000000000001</v>
      </c>
      <c r="AX7" s="53">
        <f t="shared" si="2"/>
        <v>1.30029375</v>
      </c>
      <c r="AY7" s="53" t="str">
        <f t="shared" si="2"/>
        <v/>
      </c>
      <c r="AZ7" s="53">
        <f t="shared" si="2"/>
        <v>1</v>
      </c>
      <c r="BA7" s="53" t="str">
        <f t="shared" si="2"/>
        <v>Flat</v>
      </c>
      <c r="BB7" s="53" t="str">
        <f t="shared" si="2"/>
        <v>3 -- 84% above current</v>
      </c>
      <c r="BC7" s="53">
        <f t="shared" si="2"/>
        <v>1.1864999999999999</v>
      </c>
      <c r="BD7" s="53">
        <f t="shared" si="2"/>
        <v>2.1608999999999998</v>
      </c>
      <c r="BE7" s="53">
        <f t="shared" si="2"/>
        <v>1.6736999999999997</v>
      </c>
      <c r="BF7" s="53" t="str">
        <f t="shared" si="2"/>
        <v/>
      </c>
      <c r="BG7" s="53">
        <f t="shared" si="2"/>
        <v>1</v>
      </c>
      <c r="BH7" s="53" t="str">
        <f t="shared" si="2"/>
        <v>Flat</v>
      </c>
      <c r="BI7" s="53" t="str">
        <f t="shared" si="2"/>
        <v>14% above 2050</v>
      </c>
      <c r="BJ7" s="53">
        <f t="shared" si="2"/>
        <v>1.05</v>
      </c>
      <c r="BK7" s="53">
        <f t="shared" si="2"/>
        <v>1.1025</v>
      </c>
      <c r="BL7" s="53">
        <f t="shared" si="2"/>
        <v>1.0762499999999999</v>
      </c>
      <c r="BM7" s="53" t="str">
        <f t="shared" si="2"/>
        <v/>
      </c>
      <c r="BN7" s="53">
        <f t="shared" si="2"/>
        <v>1</v>
      </c>
      <c r="BO7" s="53" t="str">
        <f t="shared" si="2"/>
        <v>Flat</v>
      </c>
      <c r="BP7" s="53" t="str">
        <f t="shared" si="2"/>
        <v/>
      </c>
      <c r="BQ7" s="53">
        <f t="shared" si="2"/>
        <v>1.1011875</v>
      </c>
      <c r="BR7" s="53">
        <f t="shared" si="2"/>
        <v>1.4994000000000001</v>
      </c>
      <c r="BS7" s="53">
        <f t="shared" si="2"/>
        <v>1.30029375</v>
      </c>
      <c r="BT7" s="53" t="str">
        <f t="shared" si="2"/>
        <v/>
      </c>
      <c r="BU7" s="53">
        <f t="shared" si="2"/>
        <v>1</v>
      </c>
      <c r="BV7" s="53" t="str">
        <f t="shared" si="2"/>
        <v>Flat</v>
      </c>
      <c r="BW7" s="53" t="str">
        <f t="shared" si="2"/>
        <v>3 -- 84% above current</v>
      </c>
      <c r="BX7" s="53">
        <f t="shared" si="2"/>
        <v>1.1864999999999999</v>
      </c>
      <c r="BY7" s="53">
        <f t="shared" si="2"/>
        <v>2.1608999999999998</v>
      </c>
      <c r="BZ7" s="53">
        <f t="shared" si="2"/>
        <v>1.6736999999999997</v>
      </c>
      <c r="CA7" s="53" t="str">
        <f t="shared" si="2"/>
        <v/>
      </c>
      <c r="CB7" s="53">
        <f t="shared" si="2"/>
        <v>1</v>
      </c>
      <c r="CC7" s="53" t="str">
        <f t="shared" si="2"/>
        <v>Flat</v>
      </c>
      <c r="CD7" s="53" t="str">
        <f t="shared" si="2"/>
        <v>14% above 2050</v>
      </c>
    </row>
    <row r="8" spans="1:82">
      <c r="A8" s="46"/>
      <c r="B8" s="23"/>
      <c r="C8" s="23" t="s">
        <v>162</v>
      </c>
      <c r="D8" s="23" t="s">
        <v>203</v>
      </c>
      <c r="E8" s="23" t="s">
        <v>10</v>
      </c>
      <c r="F8" s="53">
        <f t="shared" si="0"/>
        <v>10</v>
      </c>
      <c r="G8" s="53">
        <f t="shared" si="3"/>
        <v>80</v>
      </c>
      <c r="H8" s="53">
        <f t="shared" si="1"/>
        <v>45</v>
      </c>
      <c r="I8" s="16"/>
      <c r="J8" s="26">
        <v>1</v>
      </c>
      <c r="K8" s="16" t="str">
        <f t="shared" si="4"/>
        <v>Flat</v>
      </c>
      <c r="L8" s="62" t="s">
        <v>299</v>
      </c>
      <c r="M8" s="54">
        <v>10</v>
      </c>
      <c r="N8" s="54">
        <v>80</v>
      </c>
      <c r="O8" s="53">
        <f>(M8+N8)/2</f>
        <v>45</v>
      </c>
      <c r="P8" s="16"/>
      <c r="Q8" s="26">
        <v>1</v>
      </c>
      <c r="R8" s="16" t="str">
        <f t="shared" si="5"/>
        <v>Flat</v>
      </c>
      <c r="S8"/>
      <c r="T8" s="54">
        <v>10</v>
      </c>
      <c r="U8" s="54">
        <v>80</v>
      </c>
      <c r="V8" s="53">
        <f>(T8+U8)/2</f>
        <v>45</v>
      </c>
      <c r="W8" s="16"/>
      <c r="X8" s="26">
        <v>1</v>
      </c>
      <c r="Y8" s="16" t="str">
        <f t="shared" si="6"/>
        <v>Flat</v>
      </c>
      <c r="AA8" s="54">
        <v>10</v>
      </c>
      <c r="AB8" s="54">
        <v>80</v>
      </c>
      <c r="AC8" s="53">
        <f>(AA8+AB8)/2</f>
        <v>45</v>
      </c>
      <c r="AD8" s="16"/>
      <c r="AE8" s="26">
        <v>1</v>
      </c>
      <c r="AF8" s="16" t="str">
        <f t="shared" si="7"/>
        <v>Flat</v>
      </c>
      <c r="AH8" s="54">
        <v>10</v>
      </c>
      <c r="AI8" s="54">
        <v>80</v>
      </c>
      <c r="AJ8" s="53">
        <f>(AH8+AI8)/2</f>
        <v>45</v>
      </c>
      <c r="AK8" s="16"/>
      <c r="AL8" s="26">
        <v>1</v>
      </c>
      <c r="AM8" s="16" t="str">
        <f t="shared" si="8"/>
        <v>Flat</v>
      </c>
      <c r="AO8" s="53">
        <f t="shared" si="9"/>
        <v>10</v>
      </c>
      <c r="AP8" s="53">
        <f t="shared" si="2"/>
        <v>80</v>
      </c>
      <c r="AQ8" s="53">
        <f t="shared" si="2"/>
        <v>45</v>
      </c>
      <c r="AR8" s="53" t="str">
        <f t="shared" si="2"/>
        <v/>
      </c>
      <c r="AS8" s="53">
        <f t="shared" si="2"/>
        <v>1</v>
      </c>
      <c r="AT8" s="53" t="str">
        <f t="shared" si="2"/>
        <v>Flat</v>
      </c>
      <c r="AU8" s="53" t="str">
        <f t="shared" si="2"/>
        <v/>
      </c>
      <c r="AV8" s="53">
        <f t="shared" si="2"/>
        <v>10</v>
      </c>
      <c r="AW8" s="53">
        <f t="shared" si="2"/>
        <v>80</v>
      </c>
      <c r="AX8" s="53">
        <f t="shared" si="2"/>
        <v>45</v>
      </c>
      <c r="AY8" s="53" t="str">
        <f t="shared" si="2"/>
        <v/>
      </c>
      <c r="AZ8" s="53">
        <f t="shared" si="2"/>
        <v>1</v>
      </c>
      <c r="BA8" s="53" t="str">
        <f t="shared" si="2"/>
        <v>Flat</v>
      </c>
      <c r="BB8" s="53" t="str">
        <f t="shared" si="2"/>
        <v/>
      </c>
      <c r="BC8" s="53">
        <f t="shared" si="2"/>
        <v>10</v>
      </c>
      <c r="BD8" s="53">
        <f t="shared" si="2"/>
        <v>80</v>
      </c>
      <c r="BE8" s="53">
        <f t="shared" si="2"/>
        <v>45</v>
      </c>
      <c r="BF8" s="53" t="str">
        <f t="shared" si="2"/>
        <v/>
      </c>
      <c r="BG8" s="53">
        <f t="shared" si="2"/>
        <v>1</v>
      </c>
      <c r="BH8" s="53" t="str">
        <f t="shared" si="2"/>
        <v>Flat</v>
      </c>
      <c r="BI8" s="53" t="str">
        <f t="shared" si="2"/>
        <v/>
      </c>
      <c r="BJ8" s="53">
        <f t="shared" si="2"/>
        <v>10</v>
      </c>
      <c r="BK8" s="53">
        <f t="shared" si="2"/>
        <v>80</v>
      </c>
      <c r="BL8" s="53">
        <f t="shared" si="2"/>
        <v>45</v>
      </c>
      <c r="BM8" s="53" t="str">
        <f t="shared" si="2"/>
        <v/>
      </c>
      <c r="BN8" s="53">
        <f t="shared" si="2"/>
        <v>1</v>
      </c>
      <c r="BO8" s="53" t="str">
        <f t="shared" si="2"/>
        <v>Flat</v>
      </c>
      <c r="BP8" s="53" t="str">
        <f t="shared" si="2"/>
        <v/>
      </c>
      <c r="BQ8" s="53">
        <f t="shared" si="2"/>
        <v>10</v>
      </c>
      <c r="BR8" s="53">
        <f t="shared" si="2"/>
        <v>80</v>
      </c>
      <c r="BS8" s="53">
        <f t="shared" si="2"/>
        <v>45</v>
      </c>
      <c r="BT8" s="53" t="str">
        <f t="shared" si="2"/>
        <v/>
      </c>
      <c r="BU8" s="53">
        <f t="shared" si="2"/>
        <v>1</v>
      </c>
      <c r="BV8" s="53" t="str">
        <f t="shared" si="2"/>
        <v>Flat</v>
      </c>
      <c r="BW8" s="53" t="str">
        <f t="shared" si="2"/>
        <v/>
      </c>
      <c r="BX8" s="53">
        <f t="shared" si="2"/>
        <v>10</v>
      </c>
      <c r="BY8" s="53">
        <f t="shared" si="2"/>
        <v>80</v>
      </c>
      <c r="BZ8" s="53">
        <f t="shared" si="2"/>
        <v>45</v>
      </c>
      <c r="CA8" s="53" t="str">
        <f t="shared" si="2"/>
        <v/>
      </c>
      <c r="CB8" s="53">
        <f t="shared" si="2"/>
        <v>1</v>
      </c>
      <c r="CC8" s="53" t="str">
        <f t="shared" si="2"/>
        <v>Flat</v>
      </c>
      <c r="CD8" s="53" t="str">
        <f t="shared" si="2"/>
        <v/>
      </c>
    </row>
    <row r="9" spans="1:82">
      <c r="A9" s="46"/>
      <c r="B9" s="23"/>
      <c r="C9" s="23" t="s">
        <v>7</v>
      </c>
      <c r="D9" s="23" t="s">
        <v>204</v>
      </c>
      <c r="E9" s="23" t="s">
        <v>10</v>
      </c>
      <c r="F9" s="53">
        <f t="shared" si="0"/>
        <v>1</v>
      </c>
      <c r="G9" s="53">
        <f t="shared" si="3"/>
        <v>9740</v>
      </c>
      <c r="H9" s="53">
        <f>AVERAGE(F9:G9)</f>
        <v>4870.5</v>
      </c>
      <c r="I9" s="16"/>
      <c r="J9" s="26">
        <v>3</v>
      </c>
      <c r="K9" s="16" t="str">
        <f t="shared" si="4"/>
        <v>Log-normal</v>
      </c>
      <c r="L9" s="58" t="s">
        <v>249</v>
      </c>
      <c r="M9" s="53">
        <v>1</v>
      </c>
      <c r="N9" s="53">
        <f>15*44/12</f>
        <v>55</v>
      </c>
      <c r="O9" s="53">
        <f>AVERAGE(M9:N9)</f>
        <v>28</v>
      </c>
      <c r="P9" s="16"/>
      <c r="Q9" s="26">
        <v>3</v>
      </c>
      <c r="R9" s="16" t="str">
        <f t="shared" si="5"/>
        <v>Log-normal</v>
      </c>
      <c r="S9" t="s">
        <v>308</v>
      </c>
      <c r="T9" s="53">
        <v>143</v>
      </c>
      <c r="U9" s="53">
        <v>249</v>
      </c>
      <c r="V9" s="53">
        <v>202</v>
      </c>
      <c r="W9" s="16"/>
      <c r="X9" s="26">
        <v>3</v>
      </c>
      <c r="Y9" s="16" t="str">
        <f t="shared" si="6"/>
        <v>Log-normal</v>
      </c>
      <c r="AA9" s="53">
        <v>473</v>
      </c>
      <c r="AB9" s="53">
        <v>1085</v>
      </c>
      <c r="AC9" s="53">
        <v>800</v>
      </c>
      <c r="AE9" s="26">
        <v>3</v>
      </c>
      <c r="AF9" s="16" t="str">
        <f t="shared" si="7"/>
        <v>Log-normal</v>
      </c>
      <c r="AH9" s="53">
        <v>3460</v>
      </c>
      <c r="AI9" s="53">
        <v>9740</v>
      </c>
      <c r="AJ9" s="53">
        <v>5590</v>
      </c>
      <c r="AK9" s="16"/>
      <c r="AL9" s="26">
        <v>3</v>
      </c>
      <c r="AM9" s="16" t="str">
        <f t="shared" si="8"/>
        <v>Log-normal</v>
      </c>
      <c r="AO9" s="53">
        <v>51</v>
      </c>
      <c r="AP9" s="53">
        <v>143</v>
      </c>
      <c r="AQ9" s="53">
        <f>AVERAGE(AO9:AP9)</f>
        <v>97</v>
      </c>
      <c r="AR9" s="53"/>
      <c r="AS9" s="53">
        <v>3</v>
      </c>
      <c r="AT9" s="53" t="s">
        <v>489</v>
      </c>
      <c r="AU9" s="53"/>
      <c r="AV9" s="53">
        <v>271</v>
      </c>
      <c r="AW9" s="53">
        <v>748</v>
      </c>
      <c r="AX9" s="53">
        <f>AVERAGE(AV9:AW9)</f>
        <v>509.5</v>
      </c>
      <c r="AY9" s="53"/>
      <c r="AZ9" s="53">
        <v>3</v>
      </c>
      <c r="BA9" s="53" t="s">
        <v>489</v>
      </c>
      <c r="BB9" s="53"/>
      <c r="BC9" s="53">
        <v>788</v>
      </c>
      <c r="BD9" s="53">
        <v>5306</v>
      </c>
      <c r="BE9" s="53">
        <f>AVERAGE(BC9:BD9)</f>
        <v>3047</v>
      </c>
      <c r="BF9" s="53" t="str">
        <f t="shared" si="2"/>
        <v/>
      </c>
      <c r="BG9" s="53">
        <f t="shared" si="2"/>
        <v>3</v>
      </c>
      <c r="BH9" s="53" t="str">
        <f t="shared" si="2"/>
        <v>Log-normal</v>
      </c>
      <c r="BI9" s="53" t="str">
        <f t="shared" si="2"/>
        <v/>
      </c>
      <c r="BJ9" s="53">
        <v>37</v>
      </c>
      <c r="BK9" s="53">
        <v>40</v>
      </c>
      <c r="BL9" s="53">
        <f>AVERAGE(BJ9:BK9)</f>
        <v>38.5</v>
      </c>
      <c r="BM9" s="53"/>
      <c r="BN9" s="53">
        <v>3</v>
      </c>
      <c r="BO9" s="53" t="s">
        <v>489</v>
      </c>
      <c r="BP9" s="53"/>
      <c r="BQ9" s="53">
        <v>165</v>
      </c>
      <c r="BR9" s="53">
        <v>183</v>
      </c>
      <c r="BS9" s="53">
        <f>AVERAGE(BQ9:BR9)</f>
        <v>174</v>
      </c>
      <c r="BT9" s="53"/>
      <c r="BU9" s="53">
        <v>3</v>
      </c>
      <c r="BV9" s="53" t="s">
        <v>489</v>
      </c>
      <c r="BW9" s="53"/>
      <c r="BX9" s="53">
        <v>1335</v>
      </c>
      <c r="BY9" s="53">
        <v>2017</v>
      </c>
      <c r="BZ9" s="53">
        <f>AVERAGE(BX9:BY9)</f>
        <v>1676</v>
      </c>
      <c r="CA9" s="53" t="str">
        <f t="shared" si="2"/>
        <v/>
      </c>
      <c r="CB9" s="53">
        <f t="shared" si="2"/>
        <v>3</v>
      </c>
      <c r="CC9" s="53" t="str">
        <f t="shared" si="2"/>
        <v>Log-normal</v>
      </c>
      <c r="CD9" s="53" t="str">
        <f t="shared" si="2"/>
        <v/>
      </c>
    </row>
    <row r="10" spans="1:82">
      <c r="A10" s="46"/>
      <c r="B10" s="23"/>
      <c r="C10" s="23" t="s">
        <v>424</v>
      </c>
      <c r="D10" s="23" t="s">
        <v>425</v>
      </c>
      <c r="E10" s="23" t="s">
        <v>11</v>
      </c>
      <c r="F10" s="53">
        <f t="shared" si="0"/>
        <v>14.6</v>
      </c>
      <c r="G10" s="53">
        <f t="shared" si="3"/>
        <v>201.77920000000003</v>
      </c>
      <c r="H10" s="53">
        <f t="shared" si="1"/>
        <v>108.18960000000001</v>
      </c>
      <c r="I10" s="16"/>
      <c r="J10" s="26">
        <v>1</v>
      </c>
      <c r="K10" s="16" t="str">
        <f t="shared" si="4"/>
        <v>Flat</v>
      </c>
      <c r="L10" t="s">
        <v>461</v>
      </c>
      <c r="M10" s="53">
        <v>14.6</v>
      </c>
      <c r="N10" s="53">
        <v>56.3</v>
      </c>
      <c r="O10" s="53">
        <f>(M10+N10)/2</f>
        <v>35.449999999999996</v>
      </c>
      <c r="P10" s="16"/>
      <c r="Q10" s="26">
        <v>1</v>
      </c>
      <c r="R10" s="16" t="str">
        <f t="shared" si="5"/>
        <v>Flat</v>
      </c>
      <c r="S10"/>
      <c r="T10" s="53">
        <f>M10*(1 + 6*0.02)</f>
        <v>16.352</v>
      </c>
      <c r="U10" s="53">
        <f>N10*(1 + 6*0.02)</f>
        <v>63.056000000000004</v>
      </c>
      <c r="V10" s="53">
        <f>(T10+U10)/2</f>
        <v>39.704000000000001</v>
      </c>
      <c r="W10" s="16"/>
      <c r="X10" s="26">
        <v>1</v>
      </c>
      <c r="Y10" s="16" t="str">
        <f t="shared" si="6"/>
        <v>Flat</v>
      </c>
      <c r="AA10" s="53">
        <f>T10*(1+30*0.02)</f>
        <v>26.163200000000003</v>
      </c>
      <c r="AB10" s="53">
        <f>U10*(1+30*0.02)</f>
        <v>100.88960000000002</v>
      </c>
      <c r="AC10" s="53">
        <f>(AA10+AB10)/2</f>
        <v>63.52640000000001</v>
      </c>
      <c r="AD10" s="16"/>
      <c r="AE10" s="26">
        <v>1</v>
      </c>
      <c r="AF10" s="16" t="str">
        <f t="shared" si="7"/>
        <v>Flat</v>
      </c>
      <c r="AG10" t="s">
        <v>254</v>
      </c>
      <c r="AH10" s="53">
        <f>AA10*(1+50*0.02)</f>
        <v>52.326400000000007</v>
      </c>
      <c r="AI10" s="53">
        <f>AB10*(1+50*0.02)</f>
        <v>201.77920000000003</v>
      </c>
      <c r="AJ10" s="53">
        <f>(AH10+AI10)/2</f>
        <v>127.05280000000002</v>
      </c>
      <c r="AK10" s="16"/>
      <c r="AL10" s="26">
        <v>1</v>
      </c>
      <c r="AM10" s="16" t="str">
        <f t="shared" si="8"/>
        <v>Flat</v>
      </c>
      <c r="AO10" s="53">
        <f t="shared" si="9"/>
        <v>16.352</v>
      </c>
      <c r="AP10" s="53">
        <f t="shared" si="2"/>
        <v>63.056000000000004</v>
      </c>
      <c r="AQ10" s="53">
        <f t="shared" si="2"/>
        <v>39.704000000000001</v>
      </c>
      <c r="AR10" s="53" t="str">
        <f t="shared" si="2"/>
        <v/>
      </c>
      <c r="AS10" s="53">
        <f t="shared" si="2"/>
        <v>1</v>
      </c>
      <c r="AT10" s="53" t="str">
        <f t="shared" si="2"/>
        <v>Flat</v>
      </c>
      <c r="AU10" s="53" t="str">
        <f t="shared" si="2"/>
        <v/>
      </c>
      <c r="AV10" s="53">
        <f t="shared" si="2"/>
        <v>26.163200000000003</v>
      </c>
      <c r="AW10" s="53">
        <f t="shared" si="2"/>
        <v>100.88960000000002</v>
      </c>
      <c r="AX10" s="53">
        <f t="shared" si="2"/>
        <v>63.52640000000001</v>
      </c>
      <c r="AY10" s="53" t="str">
        <f t="shared" si="2"/>
        <v/>
      </c>
      <c r="AZ10" s="53">
        <f t="shared" si="2"/>
        <v>1</v>
      </c>
      <c r="BA10" s="53" t="str">
        <f t="shared" si="2"/>
        <v>Flat</v>
      </c>
      <c r="BB10" s="53" t="str">
        <f t="shared" si="2"/>
        <v>2014 coal to gas prices (www.eia.gov) increased linearly at 2% pa (EnerFuture : Long Term Energy Scenarios)</v>
      </c>
      <c r="BC10" s="53">
        <f t="shared" si="2"/>
        <v>52.326400000000007</v>
      </c>
      <c r="BD10" s="53">
        <f t="shared" si="2"/>
        <v>201.77920000000003</v>
      </c>
      <c r="BE10" s="53">
        <f t="shared" si="2"/>
        <v>127.05280000000002</v>
      </c>
      <c r="BF10" s="53" t="str">
        <f t="shared" si="2"/>
        <v/>
      </c>
      <c r="BG10" s="53">
        <f t="shared" si="2"/>
        <v>1</v>
      </c>
      <c r="BH10" s="53" t="str">
        <f t="shared" si="2"/>
        <v>Flat</v>
      </c>
      <c r="BI10" s="53" t="str">
        <f t="shared" si="2"/>
        <v/>
      </c>
      <c r="BJ10" s="53">
        <f t="shared" si="2"/>
        <v>16.352</v>
      </c>
      <c r="BK10" s="53">
        <f t="shared" si="2"/>
        <v>63.056000000000004</v>
      </c>
      <c r="BL10" s="53">
        <f t="shared" si="2"/>
        <v>39.704000000000001</v>
      </c>
      <c r="BM10" s="53" t="str">
        <f t="shared" si="2"/>
        <v/>
      </c>
      <c r="BN10" s="53">
        <f t="shared" si="2"/>
        <v>1</v>
      </c>
      <c r="BO10" s="53" t="str">
        <f t="shared" si="2"/>
        <v>Flat</v>
      </c>
      <c r="BP10" s="53" t="str">
        <f t="shared" si="2"/>
        <v/>
      </c>
      <c r="BQ10" s="53">
        <f t="shared" si="2"/>
        <v>26.163200000000003</v>
      </c>
      <c r="BR10" s="53">
        <f t="shared" si="2"/>
        <v>100.88960000000002</v>
      </c>
      <c r="BS10" s="53">
        <f t="shared" si="2"/>
        <v>63.52640000000001</v>
      </c>
      <c r="BT10" s="53" t="str">
        <f t="shared" si="2"/>
        <v/>
      </c>
      <c r="BU10" s="53">
        <f t="shared" si="2"/>
        <v>1</v>
      </c>
      <c r="BV10" s="53" t="str">
        <f t="shared" si="2"/>
        <v>Flat</v>
      </c>
      <c r="BW10" s="53" t="str">
        <f t="shared" si="2"/>
        <v>2014 coal to gas prices (www.eia.gov) increased linearly at 2% pa (EnerFuture : Long Term Energy Scenarios)</v>
      </c>
      <c r="BX10" s="53">
        <f t="shared" si="2"/>
        <v>52.326400000000007</v>
      </c>
      <c r="BY10" s="53">
        <f t="shared" si="2"/>
        <v>201.77920000000003</v>
      </c>
      <c r="BZ10" s="53">
        <f t="shared" si="2"/>
        <v>127.05280000000002</v>
      </c>
      <c r="CA10" s="53" t="str">
        <f t="shared" si="2"/>
        <v/>
      </c>
      <c r="CB10" s="53">
        <f t="shared" si="2"/>
        <v>1</v>
      </c>
      <c r="CC10" s="53" t="str">
        <f t="shared" si="2"/>
        <v>Flat</v>
      </c>
      <c r="CD10" s="53" t="str">
        <f t="shared" si="2"/>
        <v/>
      </c>
    </row>
    <row r="11" spans="1:82">
      <c r="A11" s="46"/>
      <c r="B11" s="23"/>
      <c r="C11" s="23" t="s">
        <v>121</v>
      </c>
      <c r="D11" s="23" t="s">
        <v>205</v>
      </c>
      <c r="E11" s="23"/>
      <c r="F11" s="53">
        <f t="shared" si="0"/>
        <v>1</v>
      </c>
      <c r="G11" s="53">
        <f t="shared" si="3"/>
        <v>1</v>
      </c>
      <c r="H11" s="53">
        <f t="shared" si="1"/>
        <v>1</v>
      </c>
      <c r="I11" s="16"/>
      <c r="J11" s="26">
        <v>1</v>
      </c>
      <c r="K11" s="16" t="str">
        <f t="shared" si="4"/>
        <v>Flat</v>
      </c>
      <c r="L11"/>
      <c r="M11" s="53">
        <v>1</v>
      </c>
      <c r="N11" s="53">
        <v>1</v>
      </c>
      <c r="O11" s="53">
        <f>(N11+M11)/2</f>
        <v>1</v>
      </c>
      <c r="P11" s="16"/>
      <c r="Q11" s="26">
        <v>1</v>
      </c>
      <c r="R11" s="16" t="str">
        <f t="shared" si="5"/>
        <v>Flat</v>
      </c>
      <c r="S11"/>
      <c r="T11" s="53">
        <v>1</v>
      </c>
      <c r="U11" s="53">
        <v>1</v>
      </c>
      <c r="V11" s="53">
        <f>(U11+T11)/2</f>
        <v>1</v>
      </c>
      <c r="W11" s="16"/>
      <c r="X11" s="26">
        <v>1</v>
      </c>
      <c r="Y11" s="16" t="str">
        <f t="shared" si="6"/>
        <v>Flat</v>
      </c>
      <c r="AA11" s="53">
        <v>1</v>
      </c>
      <c r="AB11" s="53">
        <v>1</v>
      </c>
      <c r="AC11" s="53">
        <f>(AB11+AA11)/2</f>
        <v>1</v>
      </c>
      <c r="AD11" s="16"/>
      <c r="AE11" s="26">
        <v>1</v>
      </c>
      <c r="AF11" s="16" t="str">
        <f t="shared" si="7"/>
        <v>Flat</v>
      </c>
      <c r="AH11" s="53">
        <v>1</v>
      </c>
      <c r="AI11" s="53">
        <v>1</v>
      </c>
      <c r="AJ11" s="53">
        <f>(AI11+AH11)/2</f>
        <v>1</v>
      </c>
      <c r="AK11" s="16"/>
      <c r="AL11" s="26">
        <v>1</v>
      </c>
      <c r="AM11" s="16" t="str">
        <f t="shared" si="8"/>
        <v>Flat</v>
      </c>
      <c r="AO11" s="53">
        <f t="shared" si="9"/>
        <v>1</v>
      </c>
      <c r="AP11" s="53">
        <f t="shared" si="2"/>
        <v>1</v>
      </c>
      <c r="AQ11" s="53">
        <f t="shared" si="2"/>
        <v>1</v>
      </c>
      <c r="AR11" s="53" t="str">
        <f t="shared" si="2"/>
        <v/>
      </c>
      <c r="AS11" s="53">
        <f t="shared" si="2"/>
        <v>1</v>
      </c>
      <c r="AT11" s="53" t="str">
        <f t="shared" si="2"/>
        <v>Flat</v>
      </c>
      <c r="AU11" s="53" t="str">
        <f t="shared" si="2"/>
        <v/>
      </c>
      <c r="AV11" s="53">
        <f t="shared" si="2"/>
        <v>1</v>
      </c>
      <c r="AW11" s="53">
        <f t="shared" si="2"/>
        <v>1</v>
      </c>
      <c r="AX11" s="53">
        <f t="shared" si="2"/>
        <v>1</v>
      </c>
      <c r="AY11" s="53" t="str">
        <f t="shared" ref="AY11:AY36" si="10">IF(AD11&lt;&gt;"",AD11,"")</f>
        <v/>
      </c>
      <c r="AZ11" s="53">
        <f t="shared" ref="AZ11:AZ36" si="11">IF(AE11&lt;&gt;"",AE11,"")</f>
        <v>1</v>
      </c>
      <c r="BA11" s="53" t="str">
        <f t="shared" ref="BA11:BA36" si="12">IF(AF11&lt;&gt;"",AF11,"")</f>
        <v>Flat</v>
      </c>
      <c r="BB11" s="53" t="str">
        <f t="shared" ref="BB11:BB36" si="13">IF(AG11&lt;&gt;"",AG11,"")</f>
        <v/>
      </c>
      <c r="BC11" s="53">
        <f t="shared" ref="BC11:BC36" si="14">IF(AH11&lt;&gt;"",AH11,"")</f>
        <v>1</v>
      </c>
      <c r="BD11" s="53">
        <f t="shared" ref="BD11:BD36" si="15">IF(AI11&lt;&gt;"",AI11,"")</f>
        <v>1</v>
      </c>
      <c r="BE11" s="53">
        <f t="shared" ref="BE11:BE36" si="16">IF(AJ11&lt;&gt;"",AJ11,"")</f>
        <v>1</v>
      </c>
      <c r="BF11" s="53" t="str">
        <f t="shared" ref="BF11:BF36" si="17">IF(AK11&lt;&gt;"",AK11,"")</f>
        <v/>
      </c>
      <c r="BG11" s="53">
        <f t="shared" ref="BG11:BG36" si="18">IF(AL11&lt;&gt;"",AL11,"")</f>
        <v>1</v>
      </c>
      <c r="BH11" s="53" t="str">
        <f t="shared" ref="BH11:BH36" si="19">IF(AM11&lt;&gt;"",AM11,"")</f>
        <v>Flat</v>
      </c>
      <c r="BI11" s="53" t="str">
        <f t="shared" ref="BI11:BI36" si="20">IF(AN11&lt;&gt;"",AN11,"")</f>
        <v/>
      </c>
      <c r="BJ11" s="53">
        <f t="shared" ref="BJ11:BJ36" si="21">IF(AO11&lt;&gt;"",AO11,"")</f>
        <v>1</v>
      </c>
      <c r="BK11" s="53">
        <f t="shared" ref="BK11:BK36" si="22">IF(AP11&lt;&gt;"",AP11,"")</f>
        <v>1</v>
      </c>
      <c r="BL11" s="53">
        <f t="shared" ref="BL11:BL36" si="23">IF(AQ11&lt;&gt;"",AQ11,"")</f>
        <v>1</v>
      </c>
      <c r="BM11" s="53" t="str">
        <f t="shared" ref="BM11:BM36" si="24">IF(AR11&lt;&gt;"",AR11,"")</f>
        <v/>
      </c>
      <c r="BN11" s="53">
        <f t="shared" ref="BN11:BN36" si="25">IF(AS11&lt;&gt;"",AS11,"")</f>
        <v>1</v>
      </c>
      <c r="BO11" s="53" t="str">
        <f t="shared" ref="BO11:BO36" si="26">IF(AT11&lt;&gt;"",AT11,"")</f>
        <v>Flat</v>
      </c>
      <c r="BP11" s="53" t="str">
        <f t="shared" ref="BP11:BP36" si="27">IF(AU11&lt;&gt;"",AU11,"")</f>
        <v/>
      </c>
      <c r="BQ11" s="53">
        <f t="shared" ref="BQ11:BQ36" si="28">IF(AV11&lt;&gt;"",AV11,"")</f>
        <v>1</v>
      </c>
      <c r="BR11" s="53">
        <f t="shared" ref="BR11:BR36" si="29">IF(AW11&lt;&gt;"",AW11,"")</f>
        <v>1</v>
      </c>
      <c r="BS11" s="53">
        <f t="shared" ref="BS11:BS36" si="30">IF(AX11&lt;&gt;"",AX11,"")</f>
        <v>1</v>
      </c>
      <c r="BT11" s="53" t="str">
        <f t="shared" ref="BT11:BT36" si="31">IF(AY11&lt;&gt;"",AY11,"")</f>
        <v/>
      </c>
      <c r="BU11" s="53">
        <f t="shared" ref="BU11:BU36" si="32">IF(AZ11&lt;&gt;"",AZ11,"")</f>
        <v>1</v>
      </c>
      <c r="BV11" s="53" t="str">
        <f t="shared" ref="BV11:BV36" si="33">IF(BA11&lt;&gt;"",BA11,"")</f>
        <v>Flat</v>
      </c>
      <c r="BW11" s="53" t="str">
        <f t="shared" ref="BW11:BW36" si="34">IF(BB11&lt;&gt;"",BB11,"")</f>
        <v/>
      </c>
      <c r="BX11" s="53">
        <f t="shared" ref="BX11:BX36" si="35">IF(BC11&lt;&gt;"",BC11,"")</f>
        <v>1</v>
      </c>
      <c r="BY11" s="53">
        <f t="shared" ref="BY11:BY36" si="36">IF(BD11&lt;&gt;"",BD11,"")</f>
        <v>1</v>
      </c>
      <c r="BZ11" s="53">
        <f t="shared" ref="BZ11:BZ36" si="37">IF(BE11&lt;&gt;"",BE11,"")</f>
        <v>1</v>
      </c>
      <c r="CA11" s="53" t="str">
        <f t="shared" ref="CA11:CA36" si="38">IF(BF11&lt;&gt;"",BF11,"")</f>
        <v/>
      </c>
      <c r="CB11" s="53">
        <f t="shared" ref="CB11:CB36" si="39">IF(BG11&lt;&gt;"",BG11,"")</f>
        <v>1</v>
      </c>
      <c r="CC11" s="53" t="str">
        <f t="shared" ref="CC11:CC36" si="40">IF(BH11&lt;&gt;"",BH11,"")</f>
        <v>Flat</v>
      </c>
      <c r="CD11" s="53" t="str">
        <f t="shared" ref="CD11:CD36" si="41">IF(BI11&lt;&gt;"",BI11,"")</f>
        <v/>
      </c>
    </row>
    <row r="12" spans="1:82" ht="18.75" customHeight="1">
      <c r="A12" s="47" t="s">
        <v>185</v>
      </c>
      <c r="B12" s="24"/>
      <c r="C12" s="19" t="s">
        <v>6</v>
      </c>
      <c r="D12" s="19" t="s">
        <v>206</v>
      </c>
      <c r="E12" s="19" t="s">
        <v>550</v>
      </c>
      <c r="F12" s="53">
        <f>ff_c_intensity_lo</f>
        <v>0</v>
      </c>
      <c r="G12" s="53">
        <f>ff_c_intensity_hi</f>
        <v>1.5546666666666665E-2</v>
      </c>
      <c r="H12" s="53">
        <f t="shared" si="1"/>
        <v>7.7733333333333326E-3</v>
      </c>
      <c r="I12" s="16"/>
      <c r="J12" s="26">
        <v>1</v>
      </c>
      <c r="K12" s="16" t="str">
        <f t="shared" si="4"/>
        <v>Flat</v>
      </c>
      <c r="M12" s="53">
        <f>ff_c_intensity_lo</f>
        <v>0</v>
      </c>
      <c r="N12" s="53">
        <f>ff_c_intensity_hi</f>
        <v>1.5546666666666665E-2</v>
      </c>
      <c r="O12" s="53">
        <f t="shared" ref="O12" si="42">AVERAGE(M12:N12)</f>
        <v>7.7733333333333326E-3</v>
      </c>
      <c r="P12" s="16"/>
      <c r="Q12" s="26">
        <v>1</v>
      </c>
      <c r="R12" s="16" t="str">
        <f t="shared" si="5"/>
        <v>Flat</v>
      </c>
      <c r="S12"/>
      <c r="T12" s="53">
        <f>ff_c_intensity_lo</f>
        <v>0</v>
      </c>
      <c r="U12" s="53">
        <f>ff_c_intensity_hi</f>
        <v>1.5546666666666665E-2</v>
      </c>
      <c r="V12" s="53">
        <f t="shared" ref="V12" si="43">AVERAGE(T12:U12)</f>
        <v>7.7733333333333326E-3</v>
      </c>
      <c r="W12" s="16"/>
      <c r="X12" s="26">
        <v>1</v>
      </c>
      <c r="Y12" s="16" t="str">
        <f t="shared" si="6"/>
        <v>Flat</v>
      </c>
      <c r="AA12" s="53">
        <f>ff_c_intensity_lo</f>
        <v>0</v>
      </c>
      <c r="AB12" s="53">
        <f>ff_c_intensity_hi</f>
        <v>1.5546666666666665E-2</v>
      </c>
      <c r="AC12" s="53">
        <f t="shared" ref="AC12" si="44">AVERAGE(AA12:AB12)</f>
        <v>7.7733333333333326E-3</v>
      </c>
      <c r="AD12" s="16"/>
      <c r="AE12" s="26">
        <v>1</v>
      </c>
      <c r="AF12" s="16" t="str">
        <f t="shared" si="7"/>
        <v>Flat</v>
      </c>
      <c r="AH12" s="53">
        <f>ff_c_intensity_lo</f>
        <v>0</v>
      </c>
      <c r="AI12" s="53">
        <f>ff_c_intensity_hi</f>
        <v>1.5546666666666665E-2</v>
      </c>
      <c r="AJ12" s="53">
        <f t="shared" ref="AJ12" si="45">AVERAGE(AH12:AI12)</f>
        <v>7.7733333333333326E-3</v>
      </c>
      <c r="AK12" s="16"/>
      <c r="AL12" s="26">
        <v>1</v>
      </c>
      <c r="AM12" s="16" t="str">
        <f t="shared" si="8"/>
        <v>Flat</v>
      </c>
      <c r="AO12" s="53">
        <f t="shared" si="9"/>
        <v>0</v>
      </c>
      <c r="AP12" s="53">
        <f t="shared" ref="AP12:AP36" si="46">IF(U12&lt;&gt;"",U12,"")</f>
        <v>1.5546666666666665E-2</v>
      </c>
      <c r="AQ12" s="53">
        <f t="shared" ref="AQ12:AQ36" si="47">IF(V12&lt;&gt;"",V12,"")</f>
        <v>7.7733333333333326E-3</v>
      </c>
      <c r="AR12" s="53" t="str">
        <f t="shared" ref="AR12:AR36" si="48">IF(W12&lt;&gt;"",W12,"")</f>
        <v/>
      </c>
      <c r="AS12" s="53">
        <f t="shared" ref="AS12:AS36" si="49">IF(X12&lt;&gt;"",X12,"")</f>
        <v>1</v>
      </c>
      <c r="AT12" s="53" t="str">
        <f t="shared" ref="AT12:AT36" si="50">IF(Y12&lt;&gt;"",Y12,"")</f>
        <v>Flat</v>
      </c>
      <c r="AU12" s="53" t="str">
        <f t="shared" ref="AU12:AU36" si="51">IF(Z12&lt;&gt;"",Z12,"")</f>
        <v/>
      </c>
      <c r="AV12" s="53">
        <f t="shared" ref="AV12:AV36" si="52">IF(AA12&lt;&gt;"",AA12,"")</f>
        <v>0</v>
      </c>
      <c r="AW12" s="53">
        <f t="shared" ref="AW12:AW36" si="53">IF(AB12&lt;&gt;"",AB12,"")</f>
        <v>1.5546666666666665E-2</v>
      </c>
      <c r="AX12" s="53">
        <f t="shared" ref="AX12:AX36" si="54">IF(AC12&lt;&gt;"",AC12,"")</f>
        <v>7.7733333333333326E-3</v>
      </c>
      <c r="AY12" s="53" t="str">
        <f t="shared" si="10"/>
        <v/>
      </c>
      <c r="AZ12" s="53">
        <f t="shared" si="11"/>
        <v>1</v>
      </c>
      <c r="BA12" s="53" t="str">
        <f t="shared" si="12"/>
        <v>Flat</v>
      </c>
      <c r="BB12" s="53" t="str">
        <f t="shared" si="13"/>
        <v/>
      </c>
      <c r="BC12" s="53">
        <f t="shared" si="14"/>
        <v>0</v>
      </c>
      <c r="BD12" s="53">
        <f t="shared" si="15"/>
        <v>1.5546666666666665E-2</v>
      </c>
      <c r="BE12" s="53">
        <f t="shared" si="16"/>
        <v>7.7733333333333326E-3</v>
      </c>
      <c r="BF12" s="53" t="str">
        <f t="shared" si="17"/>
        <v/>
      </c>
      <c r="BG12" s="53">
        <f t="shared" si="18"/>
        <v>1</v>
      </c>
      <c r="BH12" s="53" t="str">
        <f t="shared" si="19"/>
        <v>Flat</v>
      </c>
      <c r="BI12" s="53" t="str">
        <f t="shared" si="20"/>
        <v/>
      </c>
      <c r="BJ12" s="53">
        <f t="shared" si="21"/>
        <v>0</v>
      </c>
      <c r="BK12" s="53">
        <f t="shared" si="22"/>
        <v>1.5546666666666665E-2</v>
      </c>
      <c r="BL12" s="53">
        <f t="shared" si="23"/>
        <v>7.7733333333333326E-3</v>
      </c>
      <c r="BM12" s="53" t="str">
        <f t="shared" si="24"/>
        <v/>
      </c>
      <c r="BN12" s="53">
        <f t="shared" si="25"/>
        <v>1</v>
      </c>
      <c r="BO12" s="53" t="str">
        <f t="shared" si="26"/>
        <v>Flat</v>
      </c>
      <c r="BP12" s="53" t="str">
        <f t="shared" si="27"/>
        <v/>
      </c>
      <c r="BQ12" s="53">
        <f t="shared" si="28"/>
        <v>0</v>
      </c>
      <c r="BR12" s="53">
        <f t="shared" si="29"/>
        <v>1.5546666666666665E-2</v>
      </c>
      <c r="BS12" s="53">
        <f t="shared" si="30"/>
        <v>7.7733333333333326E-3</v>
      </c>
      <c r="BT12" s="53" t="str">
        <f t="shared" si="31"/>
        <v/>
      </c>
      <c r="BU12" s="53">
        <f t="shared" si="32"/>
        <v>1</v>
      </c>
      <c r="BV12" s="53" t="str">
        <f t="shared" si="33"/>
        <v>Flat</v>
      </c>
      <c r="BW12" s="53" t="str">
        <f t="shared" si="34"/>
        <v/>
      </c>
      <c r="BX12" s="53">
        <f t="shared" si="35"/>
        <v>0</v>
      </c>
      <c r="BY12" s="53">
        <f t="shared" si="36"/>
        <v>1.5546666666666665E-2</v>
      </c>
      <c r="BZ12" s="53">
        <f t="shared" si="37"/>
        <v>7.7733333333333326E-3</v>
      </c>
      <c r="CA12" s="53" t="str">
        <f t="shared" si="38"/>
        <v/>
      </c>
      <c r="CB12" s="53">
        <f t="shared" si="39"/>
        <v>1</v>
      </c>
      <c r="CC12" s="53" t="str">
        <f t="shared" si="40"/>
        <v>Flat</v>
      </c>
      <c r="CD12" s="53" t="str">
        <f t="shared" si="41"/>
        <v/>
      </c>
    </row>
    <row r="13" spans="1:82" ht="18.75" customHeight="1">
      <c r="A13" s="47"/>
      <c r="B13" s="24"/>
      <c r="C13" s="19" t="s">
        <v>420</v>
      </c>
      <c r="D13" s="19" t="s">
        <v>421</v>
      </c>
      <c r="E13" s="19"/>
      <c r="F13" s="53">
        <f t="shared" ref="F13:F25" si="55">MIN(T13,AA13,AH13,M13)</f>
        <v>0.38</v>
      </c>
      <c r="G13" s="53">
        <f t="shared" ref="G13:G27" si="56">MAX(U13,AB13,AI13,N13)</f>
        <v>0.5</v>
      </c>
      <c r="H13" s="53">
        <f t="shared" ref="H13" si="57">AVERAGE(F13:G13)</f>
        <v>0.44</v>
      </c>
      <c r="I13" s="16"/>
      <c r="J13" s="26">
        <v>1</v>
      </c>
      <c r="K13" s="16" t="str">
        <f t="shared" ref="K13" si="58">CHOOSE(J13,"Flat","Normal","Log-normal")</f>
        <v>Flat</v>
      </c>
      <c r="M13" s="53">
        <v>0.38</v>
      </c>
      <c r="N13" s="53">
        <v>0.5</v>
      </c>
      <c r="O13" s="53">
        <f>(M13+N13)/2</f>
        <v>0.44</v>
      </c>
      <c r="P13" s="16"/>
      <c r="Q13" s="26">
        <v>1</v>
      </c>
      <c r="R13" s="16" t="str">
        <f t="shared" si="5"/>
        <v>Flat</v>
      </c>
      <c r="S13"/>
      <c r="T13" s="53">
        <v>0.38</v>
      </c>
      <c r="U13" s="53">
        <v>0.5</v>
      </c>
      <c r="V13" s="53">
        <f>(T13+U13)/2</f>
        <v>0.44</v>
      </c>
      <c r="W13" s="16"/>
      <c r="X13" s="26">
        <v>1</v>
      </c>
      <c r="Y13" s="16" t="str">
        <f t="shared" si="6"/>
        <v>Flat</v>
      </c>
      <c r="AA13" s="53">
        <v>0.38</v>
      </c>
      <c r="AB13" s="53">
        <v>0.5</v>
      </c>
      <c r="AC13" s="53">
        <f>(AA13+AB13)/2</f>
        <v>0.44</v>
      </c>
      <c r="AD13" s="16"/>
      <c r="AE13" s="26">
        <v>1</v>
      </c>
      <c r="AF13" s="16" t="str">
        <f t="shared" si="7"/>
        <v>Flat</v>
      </c>
      <c r="AH13" s="53">
        <v>0.38</v>
      </c>
      <c r="AI13" s="53">
        <v>0.5</v>
      </c>
      <c r="AJ13" s="53">
        <f>(AH13+AI13)/2</f>
        <v>0.44</v>
      </c>
      <c r="AK13" s="16"/>
      <c r="AL13" s="26">
        <v>1</v>
      </c>
      <c r="AM13" s="16" t="str">
        <f t="shared" si="8"/>
        <v>Flat</v>
      </c>
      <c r="AO13" s="53">
        <f t="shared" si="9"/>
        <v>0.38</v>
      </c>
      <c r="AP13" s="53">
        <f t="shared" si="46"/>
        <v>0.5</v>
      </c>
      <c r="AQ13" s="53">
        <f t="shared" si="47"/>
        <v>0.44</v>
      </c>
      <c r="AR13" s="53" t="str">
        <f t="shared" si="48"/>
        <v/>
      </c>
      <c r="AS13" s="53">
        <f t="shared" si="49"/>
        <v>1</v>
      </c>
      <c r="AT13" s="53" t="str">
        <f t="shared" si="50"/>
        <v>Flat</v>
      </c>
      <c r="AU13" s="53" t="str">
        <f t="shared" si="51"/>
        <v/>
      </c>
      <c r="AV13" s="53">
        <f t="shared" si="52"/>
        <v>0.38</v>
      </c>
      <c r="AW13" s="53">
        <f t="shared" si="53"/>
        <v>0.5</v>
      </c>
      <c r="AX13" s="53">
        <f t="shared" si="54"/>
        <v>0.44</v>
      </c>
      <c r="AY13" s="53" t="str">
        <f t="shared" si="10"/>
        <v/>
      </c>
      <c r="AZ13" s="53">
        <f t="shared" si="11"/>
        <v>1</v>
      </c>
      <c r="BA13" s="53" t="str">
        <f t="shared" si="12"/>
        <v>Flat</v>
      </c>
      <c r="BB13" s="53" t="str">
        <f t="shared" si="13"/>
        <v/>
      </c>
      <c r="BC13" s="53">
        <f t="shared" si="14"/>
        <v>0.38</v>
      </c>
      <c r="BD13" s="53">
        <f t="shared" si="15"/>
        <v>0.5</v>
      </c>
      <c r="BE13" s="53">
        <f t="shared" si="16"/>
        <v>0.44</v>
      </c>
      <c r="BF13" s="53" t="str">
        <f t="shared" si="17"/>
        <v/>
      </c>
      <c r="BG13" s="53">
        <f t="shared" si="18"/>
        <v>1</v>
      </c>
      <c r="BH13" s="53" t="str">
        <f t="shared" si="19"/>
        <v>Flat</v>
      </c>
      <c r="BI13" s="53" t="str">
        <f t="shared" si="20"/>
        <v/>
      </c>
      <c r="BJ13" s="53">
        <f t="shared" si="21"/>
        <v>0.38</v>
      </c>
      <c r="BK13" s="53">
        <f t="shared" si="22"/>
        <v>0.5</v>
      </c>
      <c r="BL13" s="53">
        <f t="shared" si="23"/>
        <v>0.44</v>
      </c>
      <c r="BM13" s="53" t="str">
        <f t="shared" si="24"/>
        <v/>
      </c>
      <c r="BN13" s="53">
        <f t="shared" si="25"/>
        <v>1</v>
      </c>
      <c r="BO13" s="53" t="str">
        <f t="shared" si="26"/>
        <v>Flat</v>
      </c>
      <c r="BP13" s="53" t="str">
        <f t="shared" si="27"/>
        <v/>
      </c>
      <c r="BQ13" s="53">
        <f t="shared" si="28"/>
        <v>0.38</v>
      </c>
      <c r="BR13" s="53">
        <f t="shared" si="29"/>
        <v>0.5</v>
      </c>
      <c r="BS13" s="53">
        <f t="shared" si="30"/>
        <v>0.44</v>
      </c>
      <c r="BT13" s="53" t="str">
        <f t="shared" si="31"/>
        <v/>
      </c>
      <c r="BU13" s="53">
        <f t="shared" si="32"/>
        <v>1</v>
      </c>
      <c r="BV13" s="53" t="str">
        <f t="shared" si="33"/>
        <v>Flat</v>
      </c>
      <c r="BW13" s="53" t="str">
        <f t="shared" si="34"/>
        <v/>
      </c>
      <c r="BX13" s="53">
        <f t="shared" si="35"/>
        <v>0.38</v>
      </c>
      <c r="BY13" s="53">
        <f t="shared" si="36"/>
        <v>0.5</v>
      </c>
      <c r="BZ13" s="53">
        <f t="shared" si="37"/>
        <v>0.44</v>
      </c>
      <c r="CA13" s="53" t="str">
        <f t="shared" si="38"/>
        <v/>
      </c>
      <c r="CB13" s="53">
        <f t="shared" si="39"/>
        <v>1</v>
      </c>
      <c r="CC13" s="53" t="str">
        <f t="shared" si="40"/>
        <v>Flat</v>
      </c>
      <c r="CD13" s="53" t="str">
        <f t="shared" si="41"/>
        <v/>
      </c>
    </row>
    <row r="14" spans="1:82">
      <c r="A14" s="46" t="s">
        <v>16</v>
      </c>
      <c r="B14" s="23" t="s">
        <v>176</v>
      </c>
      <c r="C14" s="23" t="s">
        <v>400</v>
      </c>
      <c r="D14" s="23" t="s">
        <v>207</v>
      </c>
      <c r="E14" s="23" t="s">
        <v>24</v>
      </c>
      <c r="F14" s="53">
        <f t="shared" si="55"/>
        <v>315.97157427982046</v>
      </c>
      <c r="G14" s="53">
        <f t="shared" si="56"/>
        <v>1175.9844305903089</v>
      </c>
      <c r="H14" s="53">
        <f t="shared" si="1"/>
        <v>745.9780024350647</v>
      </c>
      <c r="I14" s="16"/>
      <c r="J14" s="26">
        <v>1</v>
      </c>
      <c r="K14" s="16" t="str">
        <f t="shared" si="4"/>
        <v>Flat</v>
      </c>
      <c r="L14" s="58" t="s">
        <v>401</v>
      </c>
      <c r="M14" s="53">
        <f>bes_cc_lo</f>
        <v>470.39377223612365</v>
      </c>
      <c r="N14" s="53">
        <f>bes_cc_hi</f>
        <v>1175.9844305903089</v>
      </c>
      <c r="O14" s="53">
        <f t="shared" ref="O14:O16" si="59">AVERAGE(M14:N14)</f>
        <v>823.18910141321624</v>
      </c>
      <c r="P14" s="16"/>
      <c r="Q14" s="26">
        <v>1</v>
      </c>
      <c r="R14" s="16" t="str">
        <f t="shared" si="5"/>
        <v>Flat</v>
      </c>
      <c r="S14"/>
      <c r="T14" s="53">
        <f>bes_cc_lo_2020</f>
        <v>401.76168425554442</v>
      </c>
      <c r="U14" s="53">
        <f>bes_cc_hi_2020</f>
        <v>1129.3183817573599</v>
      </c>
      <c r="V14" s="53">
        <f>(U14+T14)/2</f>
        <v>765.54003300645218</v>
      </c>
      <c r="W14" s="16"/>
      <c r="X14" s="26">
        <v>1</v>
      </c>
      <c r="Y14" s="16" t="str">
        <f t="shared" si="6"/>
        <v>Flat</v>
      </c>
      <c r="AA14" s="53">
        <f>bes_cc_lo_2050</f>
        <v>315.97157427982046</v>
      </c>
      <c r="AB14" s="53">
        <f>bes_cc_hi_2050</f>
        <v>1070.985820716174</v>
      </c>
      <c r="AC14" s="53">
        <f>(AB14+AA14)/2</f>
        <v>693.47869749799725</v>
      </c>
      <c r="AD14" s="16"/>
      <c r="AE14" s="26">
        <v>1</v>
      </c>
      <c r="AF14" s="16" t="str">
        <f t="shared" si="7"/>
        <v>Flat</v>
      </c>
      <c r="AH14" s="53">
        <f>bes_cc_lo_2100</f>
        <v>315.97157427982046</v>
      </c>
      <c r="AI14" s="53">
        <f>bes_cc_hi_2100</f>
        <v>1070.985820716174</v>
      </c>
      <c r="AJ14" s="53">
        <f t="shared" ref="AJ14" si="60">(AI14+AH14)/2</f>
        <v>693.47869749799725</v>
      </c>
      <c r="AK14" s="16"/>
      <c r="AL14" s="26">
        <v>1</v>
      </c>
      <c r="AM14" s="16" t="str">
        <f t="shared" si="8"/>
        <v>Flat</v>
      </c>
      <c r="AO14" s="53">
        <f t="shared" si="9"/>
        <v>401.76168425554442</v>
      </c>
      <c r="AP14" s="53">
        <f t="shared" si="46"/>
        <v>1129.3183817573599</v>
      </c>
      <c r="AQ14" s="53">
        <f t="shared" si="47"/>
        <v>765.54003300645218</v>
      </c>
      <c r="AR14" s="53" t="str">
        <f t="shared" si="48"/>
        <v/>
      </c>
      <c r="AS14" s="53">
        <f t="shared" si="49"/>
        <v>1</v>
      </c>
      <c r="AT14" s="53" t="str">
        <f t="shared" si="50"/>
        <v>Flat</v>
      </c>
      <c r="AU14" s="53" t="str">
        <f t="shared" si="51"/>
        <v/>
      </c>
      <c r="AV14" s="53">
        <f t="shared" si="52"/>
        <v>315.97157427982046</v>
      </c>
      <c r="AW14" s="53">
        <f t="shared" si="53"/>
        <v>1070.985820716174</v>
      </c>
      <c r="AX14" s="53">
        <f t="shared" si="54"/>
        <v>693.47869749799725</v>
      </c>
      <c r="AY14" s="53" t="str">
        <f t="shared" si="10"/>
        <v/>
      </c>
      <c r="AZ14" s="53">
        <f t="shared" si="11"/>
        <v>1</v>
      </c>
      <c r="BA14" s="53" t="str">
        <f t="shared" si="12"/>
        <v>Flat</v>
      </c>
      <c r="BB14" s="53" t="str">
        <f t="shared" si="13"/>
        <v/>
      </c>
      <c r="BC14" s="53">
        <f t="shared" si="14"/>
        <v>315.97157427982046</v>
      </c>
      <c r="BD14" s="53">
        <f t="shared" si="15"/>
        <v>1070.985820716174</v>
      </c>
      <c r="BE14" s="53">
        <f t="shared" si="16"/>
        <v>693.47869749799725</v>
      </c>
      <c r="BF14" s="53" t="str">
        <f t="shared" si="17"/>
        <v/>
      </c>
      <c r="BG14" s="53">
        <f t="shared" si="18"/>
        <v>1</v>
      </c>
      <c r="BH14" s="53" t="str">
        <f t="shared" si="19"/>
        <v>Flat</v>
      </c>
      <c r="BI14" s="53" t="str">
        <f t="shared" si="20"/>
        <v/>
      </c>
      <c r="BJ14" s="53">
        <f t="shared" si="21"/>
        <v>401.76168425554442</v>
      </c>
      <c r="BK14" s="53">
        <f t="shared" si="22"/>
        <v>1129.3183817573599</v>
      </c>
      <c r="BL14" s="53">
        <f t="shared" si="23"/>
        <v>765.54003300645218</v>
      </c>
      <c r="BM14" s="53" t="str">
        <f t="shared" si="24"/>
        <v/>
      </c>
      <c r="BN14" s="53">
        <f t="shared" si="25"/>
        <v>1</v>
      </c>
      <c r="BO14" s="53" t="str">
        <f t="shared" si="26"/>
        <v>Flat</v>
      </c>
      <c r="BP14" s="53" t="str">
        <f t="shared" si="27"/>
        <v/>
      </c>
      <c r="BQ14" s="53">
        <f t="shared" si="28"/>
        <v>315.97157427982046</v>
      </c>
      <c r="BR14" s="53">
        <f t="shared" si="29"/>
        <v>1070.985820716174</v>
      </c>
      <c r="BS14" s="53">
        <f t="shared" si="30"/>
        <v>693.47869749799725</v>
      </c>
      <c r="BT14" s="53" t="str">
        <f t="shared" si="31"/>
        <v/>
      </c>
      <c r="BU14" s="53">
        <f t="shared" si="32"/>
        <v>1</v>
      </c>
      <c r="BV14" s="53" t="str">
        <f t="shared" si="33"/>
        <v>Flat</v>
      </c>
      <c r="BW14" s="53" t="str">
        <f t="shared" si="34"/>
        <v/>
      </c>
      <c r="BX14" s="53">
        <f t="shared" si="35"/>
        <v>315.97157427982046</v>
      </c>
      <c r="BY14" s="53">
        <f t="shared" si="36"/>
        <v>1070.985820716174</v>
      </c>
      <c r="BZ14" s="53">
        <f t="shared" si="37"/>
        <v>693.47869749799725</v>
      </c>
      <c r="CA14" s="53" t="str">
        <f t="shared" si="38"/>
        <v/>
      </c>
      <c r="CB14" s="53">
        <f t="shared" si="39"/>
        <v>1</v>
      </c>
      <c r="CC14" s="53" t="str">
        <f t="shared" si="40"/>
        <v>Flat</v>
      </c>
      <c r="CD14" s="53" t="str">
        <f t="shared" si="41"/>
        <v/>
      </c>
    </row>
    <row r="15" spans="1:82">
      <c r="A15" s="46"/>
      <c r="B15" s="23"/>
      <c r="C15" s="23" t="s">
        <v>3</v>
      </c>
      <c r="D15" s="23" t="s">
        <v>208</v>
      </c>
      <c r="E15" s="23" t="s">
        <v>8</v>
      </c>
      <c r="F15" s="53">
        <f t="shared" si="55"/>
        <v>25</v>
      </c>
      <c r="G15" s="53">
        <f t="shared" si="56"/>
        <v>50</v>
      </c>
      <c r="H15" s="53">
        <f t="shared" si="1"/>
        <v>37.5</v>
      </c>
      <c r="I15" s="16"/>
      <c r="J15" s="26">
        <v>1</v>
      </c>
      <c r="K15" s="16" t="str">
        <f t="shared" si="4"/>
        <v>Flat</v>
      </c>
      <c r="M15" s="53">
        <v>25</v>
      </c>
      <c r="N15" s="53">
        <v>50</v>
      </c>
      <c r="O15" s="53">
        <f>(M15+N15)/2</f>
        <v>37.5</v>
      </c>
      <c r="P15" s="16"/>
      <c r="Q15" s="26">
        <v>1</v>
      </c>
      <c r="R15" s="16" t="str">
        <f t="shared" si="5"/>
        <v>Flat</v>
      </c>
      <c r="S15"/>
      <c r="T15" s="53">
        <v>25</v>
      </c>
      <c r="U15" s="53">
        <v>50</v>
      </c>
      <c r="V15" s="53">
        <f>(T15+U15)/2</f>
        <v>37.5</v>
      </c>
      <c r="W15" s="16"/>
      <c r="X15" s="26">
        <v>1</v>
      </c>
      <c r="Y15" s="16" t="str">
        <f t="shared" si="6"/>
        <v>Flat</v>
      </c>
      <c r="AA15" s="53">
        <v>25</v>
      </c>
      <c r="AB15" s="53">
        <v>50</v>
      </c>
      <c r="AC15" s="53">
        <f>(AA15+AB15)/2</f>
        <v>37.5</v>
      </c>
      <c r="AD15" s="16"/>
      <c r="AE15" s="26">
        <v>1</v>
      </c>
      <c r="AF15" s="16" t="str">
        <f t="shared" si="7"/>
        <v>Flat</v>
      </c>
      <c r="AH15" s="53">
        <v>25</v>
      </c>
      <c r="AI15" s="53">
        <v>50</v>
      </c>
      <c r="AJ15" s="53">
        <f>(AH15+AI15)/2</f>
        <v>37.5</v>
      </c>
      <c r="AK15" s="16"/>
      <c r="AL15" s="26">
        <v>1</v>
      </c>
      <c r="AM15" s="16" t="str">
        <f t="shared" si="8"/>
        <v>Flat</v>
      </c>
      <c r="AO15" s="53">
        <f t="shared" si="9"/>
        <v>25</v>
      </c>
      <c r="AP15" s="53">
        <f t="shared" si="46"/>
        <v>50</v>
      </c>
      <c r="AQ15" s="53">
        <f t="shared" si="47"/>
        <v>37.5</v>
      </c>
      <c r="AR15" s="53" t="str">
        <f t="shared" si="48"/>
        <v/>
      </c>
      <c r="AS15" s="53">
        <f t="shared" si="49"/>
        <v>1</v>
      </c>
      <c r="AT15" s="53" t="str">
        <f t="shared" si="50"/>
        <v>Flat</v>
      </c>
      <c r="AU15" s="53" t="str">
        <f t="shared" si="51"/>
        <v/>
      </c>
      <c r="AV15" s="53">
        <f t="shared" si="52"/>
        <v>25</v>
      </c>
      <c r="AW15" s="53">
        <f t="shared" si="53"/>
        <v>50</v>
      </c>
      <c r="AX15" s="53">
        <f t="shared" si="54"/>
        <v>37.5</v>
      </c>
      <c r="AY15" s="53" t="str">
        <f t="shared" si="10"/>
        <v/>
      </c>
      <c r="AZ15" s="53">
        <f t="shared" si="11"/>
        <v>1</v>
      </c>
      <c r="BA15" s="53" t="str">
        <f t="shared" si="12"/>
        <v>Flat</v>
      </c>
      <c r="BB15" s="53" t="str">
        <f t="shared" si="13"/>
        <v/>
      </c>
      <c r="BC15" s="53">
        <f t="shared" si="14"/>
        <v>25</v>
      </c>
      <c r="BD15" s="53">
        <f t="shared" si="15"/>
        <v>50</v>
      </c>
      <c r="BE15" s="53">
        <f t="shared" si="16"/>
        <v>37.5</v>
      </c>
      <c r="BF15" s="53" t="str">
        <f t="shared" si="17"/>
        <v/>
      </c>
      <c r="BG15" s="53">
        <f t="shared" si="18"/>
        <v>1</v>
      </c>
      <c r="BH15" s="53" t="str">
        <f t="shared" si="19"/>
        <v>Flat</v>
      </c>
      <c r="BI15" s="53" t="str">
        <f t="shared" si="20"/>
        <v/>
      </c>
      <c r="BJ15" s="53">
        <f t="shared" si="21"/>
        <v>25</v>
      </c>
      <c r="BK15" s="53">
        <f t="shared" si="22"/>
        <v>50</v>
      </c>
      <c r="BL15" s="53">
        <f t="shared" si="23"/>
        <v>37.5</v>
      </c>
      <c r="BM15" s="53" t="str">
        <f t="shared" si="24"/>
        <v/>
      </c>
      <c r="BN15" s="53">
        <f t="shared" si="25"/>
        <v>1</v>
      </c>
      <c r="BO15" s="53" t="str">
        <f t="shared" si="26"/>
        <v>Flat</v>
      </c>
      <c r="BP15" s="53" t="str">
        <f t="shared" si="27"/>
        <v/>
      </c>
      <c r="BQ15" s="53">
        <f t="shared" si="28"/>
        <v>25</v>
      </c>
      <c r="BR15" s="53">
        <f t="shared" si="29"/>
        <v>50</v>
      </c>
      <c r="BS15" s="53">
        <f t="shared" si="30"/>
        <v>37.5</v>
      </c>
      <c r="BT15" s="53" t="str">
        <f t="shared" si="31"/>
        <v/>
      </c>
      <c r="BU15" s="53">
        <f t="shared" si="32"/>
        <v>1</v>
      </c>
      <c r="BV15" s="53" t="str">
        <f t="shared" si="33"/>
        <v>Flat</v>
      </c>
      <c r="BW15" s="53" t="str">
        <f t="shared" si="34"/>
        <v/>
      </c>
      <c r="BX15" s="53">
        <f t="shared" si="35"/>
        <v>25</v>
      </c>
      <c r="BY15" s="53">
        <f t="shared" si="36"/>
        <v>50</v>
      </c>
      <c r="BZ15" s="53">
        <f t="shared" si="37"/>
        <v>37.5</v>
      </c>
      <c r="CA15" s="53" t="str">
        <f t="shared" si="38"/>
        <v/>
      </c>
      <c r="CB15" s="53">
        <f t="shared" si="39"/>
        <v>1</v>
      </c>
      <c r="CC15" s="53" t="str">
        <f t="shared" si="40"/>
        <v>Flat</v>
      </c>
      <c r="CD15" s="53" t="str">
        <f t="shared" si="41"/>
        <v/>
      </c>
    </row>
    <row r="16" spans="1:82">
      <c r="A16" s="46"/>
      <c r="B16" s="23" t="s">
        <v>67</v>
      </c>
      <c r="C16" s="23" t="s">
        <v>173</v>
      </c>
      <c r="D16" s="23" t="s">
        <v>209</v>
      </c>
      <c r="E16" s="23" t="s">
        <v>455</v>
      </c>
      <c r="F16" s="53">
        <f t="shared" si="55"/>
        <v>0.28000000000000003</v>
      </c>
      <c r="G16" s="53">
        <f t="shared" si="56"/>
        <v>0.45</v>
      </c>
      <c r="H16" s="53">
        <f t="shared" si="1"/>
        <v>0.36499999999999999</v>
      </c>
      <c r="I16" s="16"/>
      <c r="J16" s="26">
        <v>1</v>
      </c>
      <c r="K16" s="16" t="str">
        <f t="shared" si="4"/>
        <v>Flat</v>
      </c>
      <c r="L16" s="58" t="s">
        <v>401</v>
      </c>
      <c r="M16" s="53">
        <v>0.28000000000000003</v>
      </c>
      <c r="N16" s="53">
        <v>0.4</v>
      </c>
      <c r="O16" s="53">
        <f t="shared" si="59"/>
        <v>0.34</v>
      </c>
      <c r="P16" s="16"/>
      <c r="Q16" s="26">
        <v>1</v>
      </c>
      <c r="R16" s="16" t="str">
        <f t="shared" si="5"/>
        <v>Flat</v>
      </c>
      <c r="S16"/>
      <c r="T16" s="53">
        <v>0.3</v>
      </c>
      <c r="U16" s="53">
        <v>0.42</v>
      </c>
      <c r="V16" s="53">
        <f>(T16+U16)/2</f>
        <v>0.36</v>
      </c>
      <c r="W16" s="16"/>
      <c r="X16" s="26">
        <v>1</v>
      </c>
      <c r="Y16" s="16" t="str">
        <f t="shared" si="6"/>
        <v>Flat</v>
      </c>
      <c r="AA16" s="53">
        <v>0.33</v>
      </c>
      <c r="AB16" s="53">
        <v>0.45</v>
      </c>
      <c r="AC16" s="53">
        <f>(AA16+AB16)/2</f>
        <v>0.39</v>
      </c>
      <c r="AD16" s="16"/>
      <c r="AE16" s="26">
        <v>1</v>
      </c>
      <c r="AF16" s="16" t="str">
        <f t="shared" si="7"/>
        <v>Flat</v>
      </c>
      <c r="AH16" s="53">
        <v>0.33</v>
      </c>
      <c r="AI16" s="53">
        <v>0.45</v>
      </c>
      <c r="AJ16" s="53">
        <f>(AH16+AI16)/2</f>
        <v>0.39</v>
      </c>
      <c r="AK16" s="16"/>
      <c r="AL16" s="26">
        <v>1</v>
      </c>
      <c r="AM16" s="16" t="str">
        <f t="shared" si="8"/>
        <v>Flat</v>
      </c>
      <c r="AO16" s="53">
        <f t="shared" si="9"/>
        <v>0.3</v>
      </c>
      <c r="AP16" s="53">
        <f t="shared" si="46"/>
        <v>0.42</v>
      </c>
      <c r="AQ16" s="53">
        <f t="shared" si="47"/>
        <v>0.36</v>
      </c>
      <c r="AR16" s="53" t="str">
        <f t="shared" si="48"/>
        <v/>
      </c>
      <c r="AS16" s="53">
        <f t="shared" si="49"/>
        <v>1</v>
      </c>
      <c r="AT16" s="53" t="str">
        <f t="shared" si="50"/>
        <v>Flat</v>
      </c>
      <c r="AU16" s="53" t="str">
        <f t="shared" si="51"/>
        <v/>
      </c>
      <c r="AV16" s="53">
        <f t="shared" si="52"/>
        <v>0.33</v>
      </c>
      <c r="AW16" s="53">
        <f t="shared" si="53"/>
        <v>0.45</v>
      </c>
      <c r="AX16" s="53">
        <f t="shared" si="54"/>
        <v>0.39</v>
      </c>
      <c r="AY16" s="53" t="str">
        <f t="shared" si="10"/>
        <v/>
      </c>
      <c r="AZ16" s="53">
        <f t="shared" si="11"/>
        <v>1</v>
      </c>
      <c r="BA16" s="53" t="str">
        <f t="shared" si="12"/>
        <v>Flat</v>
      </c>
      <c r="BB16" s="53" t="str">
        <f t="shared" si="13"/>
        <v/>
      </c>
      <c r="BC16" s="53">
        <f t="shared" si="14"/>
        <v>0.33</v>
      </c>
      <c r="BD16" s="53">
        <f t="shared" si="15"/>
        <v>0.45</v>
      </c>
      <c r="BE16" s="53">
        <f t="shared" si="16"/>
        <v>0.39</v>
      </c>
      <c r="BF16" s="53" t="str">
        <f t="shared" si="17"/>
        <v/>
      </c>
      <c r="BG16" s="53">
        <f t="shared" si="18"/>
        <v>1</v>
      </c>
      <c r="BH16" s="53" t="str">
        <f t="shared" si="19"/>
        <v>Flat</v>
      </c>
      <c r="BI16" s="53" t="str">
        <f t="shared" si="20"/>
        <v/>
      </c>
      <c r="BJ16" s="53">
        <f t="shared" si="21"/>
        <v>0.3</v>
      </c>
      <c r="BK16" s="53">
        <f t="shared" si="22"/>
        <v>0.42</v>
      </c>
      <c r="BL16" s="53">
        <f t="shared" si="23"/>
        <v>0.36</v>
      </c>
      <c r="BM16" s="53" t="str">
        <f t="shared" si="24"/>
        <v/>
      </c>
      <c r="BN16" s="53">
        <f t="shared" si="25"/>
        <v>1</v>
      </c>
      <c r="BO16" s="53" t="str">
        <f t="shared" si="26"/>
        <v>Flat</v>
      </c>
      <c r="BP16" s="53" t="str">
        <f t="shared" si="27"/>
        <v/>
      </c>
      <c r="BQ16" s="53">
        <f t="shared" si="28"/>
        <v>0.33</v>
      </c>
      <c r="BR16" s="53">
        <f t="shared" si="29"/>
        <v>0.45</v>
      </c>
      <c r="BS16" s="53">
        <f t="shared" si="30"/>
        <v>0.39</v>
      </c>
      <c r="BT16" s="53" t="str">
        <f t="shared" si="31"/>
        <v/>
      </c>
      <c r="BU16" s="53">
        <f t="shared" si="32"/>
        <v>1</v>
      </c>
      <c r="BV16" s="53" t="str">
        <f t="shared" si="33"/>
        <v>Flat</v>
      </c>
      <c r="BW16" s="53" t="str">
        <f t="shared" si="34"/>
        <v/>
      </c>
      <c r="BX16" s="53">
        <f t="shared" si="35"/>
        <v>0.33</v>
      </c>
      <c r="BY16" s="53">
        <f t="shared" si="36"/>
        <v>0.45</v>
      </c>
      <c r="BZ16" s="53">
        <f t="shared" si="37"/>
        <v>0.39</v>
      </c>
      <c r="CA16" s="53" t="str">
        <f t="shared" si="38"/>
        <v/>
      </c>
      <c r="CB16" s="53">
        <f t="shared" si="39"/>
        <v>1</v>
      </c>
      <c r="CC16" s="53" t="str">
        <f t="shared" si="40"/>
        <v>Flat</v>
      </c>
      <c r="CD16" s="53" t="str">
        <f t="shared" si="41"/>
        <v/>
      </c>
    </row>
    <row r="17" spans="1:82">
      <c r="A17" s="47" t="s">
        <v>0</v>
      </c>
      <c r="B17" s="19" t="s">
        <v>183</v>
      </c>
      <c r="C17" s="19" t="s">
        <v>19</v>
      </c>
      <c r="D17" s="19" t="s">
        <v>210</v>
      </c>
      <c r="E17" s="19" t="s">
        <v>20</v>
      </c>
      <c r="F17" s="53">
        <f t="shared" si="55"/>
        <v>450</v>
      </c>
      <c r="G17" s="53">
        <f t="shared" si="56"/>
        <v>650</v>
      </c>
      <c r="H17" s="53">
        <f t="shared" si="1"/>
        <v>550</v>
      </c>
      <c r="I17" s="16"/>
      <c r="J17" s="26">
        <v>1</v>
      </c>
      <c r="K17" s="16" t="str">
        <f t="shared" si="4"/>
        <v>Flat</v>
      </c>
      <c r="M17" s="53">
        <v>450</v>
      </c>
      <c r="N17" s="53">
        <v>650</v>
      </c>
      <c r="O17" s="53">
        <v>550</v>
      </c>
      <c r="P17" s="16"/>
      <c r="Q17" s="26">
        <v>1</v>
      </c>
      <c r="R17" s="16" t="str">
        <f t="shared" si="5"/>
        <v>Flat</v>
      </c>
      <c r="S17"/>
      <c r="T17" s="53">
        <v>450</v>
      </c>
      <c r="U17" s="53">
        <v>650</v>
      </c>
      <c r="V17" s="53">
        <v>550</v>
      </c>
      <c r="W17" s="16"/>
      <c r="X17" s="26">
        <v>1</v>
      </c>
      <c r="Y17" s="16" t="str">
        <f t="shared" si="6"/>
        <v>Flat</v>
      </c>
      <c r="AA17" s="53">
        <v>450</v>
      </c>
      <c r="AB17" s="53">
        <v>650</v>
      </c>
      <c r="AC17" s="53">
        <v>550</v>
      </c>
      <c r="AD17" s="16"/>
      <c r="AE17" s="26">
        <v>1</v>
      </c>
      <c r="AF17" s="16" t="str">
        <f t="shared" si="7"/>
        <v>Flat</v>
      </c>
      <c r="AH17" s="53">
        <v>450</v>
      </c>
      <c r="AI17" s="53">
        <v>650</v>
      </c>
      <c r="AJ17" s="53">
        <v>550</v>
      </c>
      <c r="AK17" s="16"/>
      <c r="AL17" s="26">
        <v>1</v>
      </c>
      <c r="AM17" s="16" t="str">
        <f t="shared" si="8"/>
        <v>Flat</v>
      </c>
      <c r="AO17" s="53">
        <f t="shared" si="9"/>
        <v>450</v>
      </c>
      <c r="AP17" s="53">
        <f t="shared" si="46"/>
        <v>650</v>
      </c>
      <c r="AQ17" s="53">
        <f t="shared" si="47"/>
        <v>550</v>
      </c>
      <c r="AR17" s="53" t="str">
        <f t="shared" si="48"/>
        <v/>
      </c>
      <c r="AS17" s="53">
        <f t="shared" si="49"/>
        <v>1</v>
      </c>
      <c r="AT17" s="53" t="str">
        <f t="shared" si="50"/>
        <v>Flat</v>
      </c>
      <c r="AU17" s="53" t="str">
        <f t="shared" si="51"/>
        <v/>
      </c>
      <c r="AV17" s="53">
        <f t="shared" si="52"/>
        <v>450</v>
      </c>
      <c r="AW17" s="53">
        <f t="shared" si="53"/>
        <v>650</v>
      </c>
      <c r="AX17" s="53">
        <f t="shared" si="54"/>
        <v>550</v>
      </c>
      <c r="AY17" s="53" t="str">
        <f t="shared" si="10"/>
        <v/>
      </c>
      <c r="AZ17" s="53">
        <f t="shared" si="11"/>
        <v>1</v>
      </c>
      <c r="BA17" s="53" t="str">
        <f t="shared" si="12"/>
        <v>Flat</v>
      </c>
      <c r="BB17" s="53" t="str">
        <f t="shared" si="13"/>
        <v/>
      </c>
      <c r="BC17" s="53">
        <f t="shared" si="14"/>
        <v>450</v>
      </c>
      <c r="BD17" s="53">
        <f t="shared" si="15"/>
        <v>650</v>
      </c>
      <c r="BE17" s="53">
        <f t="shared" si="16"/>
        <v>550</v>
      </c>
      <c r="BF17" s="53" t="str">
        <f t="shared" si="17"/>
        <v/>
      </c>
      <c r="BG17" s="53">
        <f t="shared" si="18"/>
        <v>1</v>
      </c>
      <c r="BH17" s="53" t="str">
        <f t="shared" si="19"/>
        <v>Flat</v>
      </c>
      <c r="BI17" s="53" t="str">
        <f t="shared" si="20"/>
        <v/>
      </c>
      <c r="BJ17" s="53">
        <f t="shared" si="21"/>
        <v>450</v>
      </c>
      <c r="BK17" s="53">
        <f t="shared" si="22"/>
        <v>650</v>
      </c>
      <c r="BL17" s="53">
        <f t="shared" si="23"/>
        <v>550</v>
      </c>
      <c r="BM17" s="53" t="str">
        <f t="shared" si="24"/>
        <v/>
      </c>
      <c r="BN17" s="53">
        <f t="shared" si="25"/>
        <v>1</v>
      </c>
      <c r="BO17" s="53" t="str">
        <f t="shared" si="26"/>
        <v>Flat</v>
      </c>
      <c r="BP17" s="53" t="str">
        <f t="shared" si="27"/>
        <v/>
      </c>
      <c r="BQ17" s="53">
        <f t="shared" si="28"/>
        <v>450</v>
      </c>
      <c r="BR17" s="53">
        <f t="shared" si="29"/>
        <v>650</v>
      </c>
      <c r="BS17" s="53">
        <f t="shared" si="30"/>
        <v>550</v>
      </c>
      <c r="BT17" s="53" t="str">
        <f t="shared" si="31"/>
        <v/>
      </c>
      <c r="BU17" s="53">
        <f t="shared" si="32"/>
        <v>1</v>
      </c>
      <c r="BV17" s="53" t="str">
        <f t="shared" si="33"/>
        <v>Flat</v>
      </c>
      <c r="BW17" s="53" t="str">
        <f t="shared" si="34"/>
        <v/>
      </c>
      <c r="BX17" s="53">
        <f t="shared" si="35"/>
        <v>450</v>
      </c>
      <c r="BY17" s="53">
        <f t="shared" si="36"/>
        <v>650</v>
      </c>
      <c r="BZ17" s="53">
        <f t="shared" si="37"/>
        <v>550</v>
      </c>
      <c r="CA17" s="53" t="str">
        <f t="shared" si="38"/>
        <v/>
      </c>
      <c r="CB17" s="53">
        <f t="shared" si="39"/>
        <v>1</v>
      </c>
      <c r="CC17" s="53" t="str">
        <f t="shared" si="40"/>
        <v>Flat</v>
      </c>
      <c r="CD17" s="53" t="str">
        <f t="shared" si="41"/>
        <v/>
      </c>
    </row>
    <row r="18" spans="1:82">
      <c r="A18" s="47"/>
      <c r="B18" s="19"/>
      <c r="C18" s="19" t="s">
        <v>107</v>
      </c>
      <c r="D18" s="19" t="s">
        <v>211</v>
      </c>
      <c r="E18" s="19" t="str">
        <f>CHOOSE(py_e_source, "gas+volatiles",  "biomass",  "biochar")</f>
        <v>gas+volatiles</v>
      </c>
      <c r="F18" s="53">
        <f t="shared" si="55"/>
        <v>1</v>
      </c>
      <c r="G18" s="53">
        <f t="shared" si="56"/>
        <v>1</v>
      </c>
      <c r="H18" s="53">
        <f>INT( AVERAGE(F18:G18))</f>
        <v>1</v>
      </c>
      <c r="I18" s="16"/>
      <c r="J18" s="26">
        <v>1</v>
      </c>
      <c r="K18" s="16" t="str">
        <f t="shared" si="4"/>
        <v>Flat</v>
      </c>
      <c r="M18" s="53">
        <v>1</v>
      </c>
      <c r="N18" s="53">
        <v>1</v>
      </c>
      <c r="O18" s="53">
        <v>1</v>
      </c>
      <c r="P18" s="16"/>
      <c r="Q18" s="26">
        <v>1</v>
      </c>
      <c r="R18" s="16" t="str">
        <f t="shared" si="5"/>
        <v>Flat</v>
      </c>
      <c r="S18"/>
      <c r="T18" s="53">
        <v>1</v>
      </c>
      <c r="U18" s="53">
        <v>1</v>
      </c>
      <c r="V18" s="53">
        <v>1</v>
      </c>
      <c r="W18" s="16"/>
      <c r="X18" s="26">
        <v>1</v>
      </c>
      <c r="Y18" s="16" t="str">
        <f t="shared" si="6"/>
        <v>Flat</v>
      </c>
      <c r="AA18" s="53">
        <v>1</v>
      </c>
      <c r="AB18" s="53">
        <v>1</v>
      </c>
      <c r="AC18" s="53">
        <v>1</v>
      </c>
      <c r="AD18" s="16"/>
      <c r="AE18" s="26">
        <v>1</v>
      </c>
      <c r="AF18" s="16" t="str">
        <f t="shared" si="7"/>
        <v>Flat</v>
      </c>
      <c r="AH18" s="53">
        <v>1</v>
      </c>
      <c r="AI18" s="53">
        <v>1</v>
      </c>
      <c r="AJ18" s="53">
        <v>1</v>
      </c>
      <c r="AK18" s="16"/>
      <c r="AL18" s="26">
        <v>1</v>
      </c>
      <c r="AM18" s="16" t="str">
        <f t="shared" si="8"/>
        <v>Flat</v>
      </c>
      <c r="AO18" s="53">
        <f t="shared" si="9"/>
        <v>1</v>
      </c>
      <c r="AP18" s="53">
        <f t="shared" si="46"/>
        <v>1</v>
      </c>
      <c r="AQ18" s="53">
        <f t="shared" si="47"/>
        <v>1</v>
      </c>
      <c r="AR18" s="53" t="str">
        <f t="shared" si="48"/>
        <v/>
      </c>
      <c r="AS18" s="53">
        <f t="shared" si="49"/>
        <v>1</v>
      </c>
      <c r="AT18" s="53" t="str">
        <f t="shared" si="50"/>
        <v>Flat</v>
      </c>
      <c r="AU18" s="53" t="str">
        <f t="shared" si="51"/>
        <v/>
      </c>
      <c r="AV18" s="53">
        <f t="shared" si="52"/>
        <v>1</v>
      </c>
      <c r="AW18" s="53">
        <f t="shared" si="53"/>
        <v>1</v>
      </c>
      <c r="AX18" s="53">
        <f t="shared" si="54"/>
        <v>1</v>
      </c>
      <c r="AY18" s="53" t="str">
        <f t="shared" si="10"/>
        <v/>
      </c>
      <c r="AZ18" s="53">
        <f t="shared" si="11"/>
        <v>1</v>
      </c>
      <c r="BA18" s="53" t="str">
        <f t="shared" si="12"/>
        <v>Flat</v>
      </c>
      <c r="BB18" s="53" t="str">
        <f t="shared" si="13"/>
        <v/>
      </c>
      <c r="BC18" s="53">
        <f t="shared" si="14"/>
        <v>1</v>
      </c>
      <c r="BD18" s="53">
        <f t="shared" si="15"/>
        <v>1</v>
      </c>
      <c r="BE18" s="53">
        <f t="shared" si="16"/>
        <v>1</v>
      </c>
      <c r="BF18" s="53" t="str">
        <f t="shared" si="17"/>
        <v/>
      </c>
      <c r="BG18" s="53">
        <f t="shared" si="18"/>
        <v>1</v>
      </c>
      <c r="BH18" s="53" t="str">
        <f t="shared" si="19"/>
        <v>Flat</v>
      </c>
      <c r="BI18" s="53" t="str">
        <f t="shared" si="20"/>
        <v/>
      </c>
      <c r="BJ18" s="53">
        <f t="shared" si="21"/>
        <v>1</v>
      </c>
      <c r="BK18" s="53">
        <f t="shared" si="22"/>
        <v>1</v>
      </c>
      <c r="BL18" s="53">
        <f t="shared" si="23"/>
        <v>1</v>
      </c>
      <c r="BM18" s="53" t="str">
        <f t="shared" si="24"/>
        <v/>
      </c>
      <c r="BN18" s="53">
        <f t="shared" si="25"/>
        <v>1</v>
      </c>
      <c r="BO18" s="53" t="str">
        <f t="shared" si="26"/>
        <v>Flat</v>
      </c>
      <c r="BP18" s="53" t="str">
        <f t="shared" si="27"/>
        <v/>
      </c>
      <c r="BQ18" s="53">
        <f t="shared" si="28"/>
        <v>1</v>
      </c>
      <c r="BR18" s="53">
        <f t="shared" si="29"/>
        <v>1</v>
      </c>
      <c r="BS18" s="53">
        <f t="shared" si="30"/>
        <v>1</v>
      </c>
      <c r="BT18" s="53" t="str">
        <f t="shared" si="31"/>
        <v/>
      </c>
      <c r="BU18" s="53">
        <f t="shared" si="32"/>
        <v>1</v>
      </c>
      <c r="BV18" s="53" t="str">
        <f t="shared" si="33"/>
        <v>Flat</v>
      </c>
      <c r="BW18" s="53" t="str">
        <f t="shared" si="34"/>
        <v/>
      </c>
      <c r="BX18" s="53">
        <f t="shared" si="35"/>
        <v>1</v>
      </c>
      <c r="BY18" s="53">
        <f t="shared" si="36"/>
        <v>1</v>
      </c>
      <c r="BZ18" s="53">
        <f t="shared" si="37"/>
        <v>1</v>
      </c>
      <c r="CA18" s="53" t="str">
        <f t="shared" si="38"/>
        <v/>
      </c>
      <c r="CB18" s="53">
        <f t="shared" si="39"/>
        <v>1</v>
      </c>
      <c r="CC18" s="53" t="str">
        <f t="shared" si="40"/>
        <v>Flat</v>
      </c>
      <c r="CD18" s="53" t="str">
        <f t="shared" si="41"/>
        <v/>
      </c>
    </row>
    <row r="19" spans="1:82">
      <c r="A19" s="47"/>
      <c r="B19" s="19" t="s">
        <v>67</v>
      </c>
      <c r="C19" s="19" t="s">
        <v>27</v>
      </c>
      <c r="D19" s="19" t="s">
        <v>212</v>
      </c>
      <c r="E19" s="19"/>
      <c r="F19" s="53">
        <f t="shared" si="55"/>
        <v>0.28000000000000003</v>
      </c>
      <c r="G19" s="53">
        <f t="shared" si="56"/>
        <v>0.45</v>
      </c>
      <c r="H19" s="53">
        <f t="shared" si="1"/>
        <v>0.36499999999999999</v>
      </c>
      <c r="I19" s="16"/>
      <c r="J19" s="26">
        <v>1</v>
      </c>
      <c r="K19" s="16" t="str">
        <f t="shared" si="4"/>
        <v>Flat</v>
      </c>
      <c r="M19" s="53">
        <f>M16</f>
        <v>0.28000000000000003</v>
      </c>
      <c r="N19" s="53">
        <f>N16</f>
        <v>0.4</v>
      </c>
      <c r="O19" s="53">
        <v>0.45</v>
      </c>
      <c r="P19" s="16"/>
      <c r="Q19" s="26">
        <v>1</v>
      </c>
      <c r="R19" s="16" t="str">
        <f t="shared" si="5"/>
        <v>Flat</v>
      </c>
      <c r="S19"/>
      <c r="T19" s="53">
        <f>T16</f>
        <v>0.3</v>
      </c>
      <c r="U19" s="53">
        <f>U16</f>
        <v>0.42</v>
      </c>
      <c r="V19" s="53">
        <v>0.45</v>
      </c>
      <c r="W19" s="16"/>
      <c r="X19" s="26">
        <v>1</v>
      </c>
      <c r="Y19" s="16" t="str">
        <f t="shared" si="6"/>
        <v>Flat</v>
      </c>
      <c r="AA19" s="53">
        <f>AA16</f>
        <v>0.33</v>
      </c>
      <c r="AB19" s="53">
        <f>AB16</f>
        <v>0.45</v>
      </c>
      <c r="AC19" s="53">
        <v>0.45</v>
      </c>
      <c r="AD19" s="16"/>
      <c r="AE19" s="26">
        <v>1</v>
      </c>
      <c r="AF19" s="16" t="str">
        <f t="shared" si="7"/>
        <v>Flat</v>
      </c>
      <c r="AH19" s="53">
        <f>AH16</f>
        <v>0.33</v>
      </c>
      <c r="AI19" s="53">
        <f>AI16</f>
        <v>0.45</v>
      </c>
      <c r="AJ19" s="53">
        <v>0.45</v>
      </c>
      <c r="AK19" s="16"/>
      <c r="AL19" s="26">
        <v>1</v>
      </c>
      <c r="AM19" s="16" t="str">
        <f t="shared" si="8"/>
        <v>Flat</v>
      </c>
      <c r="AO19" s="53">
        <f t="shared" si="9"/>
        <v>0.3</v>
      </c>
      <c r="AP19" s="53">
        <f t="shared" si="46"/>
        <v>0.42</v>
      </c>
      <c r="AQ19" s="53">
        <f t="shared" si="47"/>
        <v>0.45</v>
      </c>
      <c r="AR19" s="53" t="str">
        <f t="shared" si="48"/>
        <v/>
      </c>
      <c r="AS19" s="53">
        <f t="shared" si="49"/>
        <v>1</v>
      </c>
      <c r="AT19" s="53" t="str">
        <f t="shared" si="50"/>
        <v>Flat</v>
      </c>
      <c r="AU19" s="53" t="str">
        <f t="shared" si="51"/>
        <v/>
      </c>
      <c r="AV19" s="53">
        <f t="shared" si="52"/>
        <v>0.33</v>
      </c>
      <c r="AW19" s="53">
        <f t="shared" si="53"/>
        <v>0.45</v>
      </c>
      <c r="AX19" s="53">
        <f t="shared" si="54"/>
        <v>0.45</v>
      </c>
      <c r="AY19" s="53" t="str">
        <f t="shared" si="10"/>
        <v/>
      </c>
      <c r="AZ19" s="53">
        <f t="shared" si="11"/>
        <v>1</v>
      </c>
      <c r="BA19" s="53" t="str">
        <f t="shared" si="12"/>
        <v>Flat</v>
      </c>
      <c r="BB19" s="53" t="str">
        <f t="shared" si="13"/>
        <v/>
      </c>
      <c r="BC19" s="53">
        <f t="shared" si="14"/>
        <v>0.33</v>
      </c>
      <c r="BD19" s="53">
        <f t="shared" si="15"/>
        <v>0.45</v>
      </c>
      <c r="BE19" s="53">
        <f t="shared" si="16"/>
        <v>0.45</v>
      </c>
      <c r="BF19" s="53" t="str">
        <f t="shared" si="17"/>
        <v/>
      </c>
      <c r="BG19" s="53">
        <f t="shared" si="18"/>
        <v>1</v>
      </c>
      <c r="BH19" s="53" t="str">
        <f t="shared" si="19"/>
        <v>Flat</v>
      </c>
      <c r="BI19" s="53" t="str">
        <f t="shared" si="20"/>
        <v/>
      </c>
      <c r="BJ19" s="53">
        <f t="shared" si="21"/>
        <v>0.3</v>
      </c>
      <c r="BK19" s="53">
        <f t="shared" si="22"/>
        <v>0.42</v>
      </c>
      <c r="BL19" s="53">
        <f t="shared" si="23"/>
        <v>0.45</v>
      </c>
      <c r="BM19" s="53" t="str">
        <f t="shared" si="24"/>
        <v/>
      </c>
      <c r="BN19" s="53">
        <f t="shared" si="25"/>
        <v>1</v>
      </c>
      <c r="BO19" s="53" t="str">
        <f t="shared" si="26"/>
        <v>Flat</v>
      </c>
      <c r="BP19" s="53" t="str">
        <f t="shared" si="27"/>
        <v/>
      </c>
      <c r="BQ19" s="53">
        <f t="shared" si="28"/>
        <v>0.33</v>
      </c>
      <c r="BR19" s="53">
        <f t="shared" si="29"/>
        <v>0.45</v>
      </c>
      <c r="BS19" s="53">
        <f t="shared" si="30"/>
        <v>0.45</v>
      </c>
      <c r="BT19" s="53" t="str">
        <f t="shared" si="31"/>
        <v/>
      </c>
      <c r="BU19" s="53">
        <f t="shared" si="32"/>
        <v>1</v>
      </c>
      <c r="BV19" s="53" t="str">
        <f t="shared" si="33"/>
        <v>Flat</v>
      </c>
      <c r="BW19" s="53" t="str">
        <f t="shared" si="34"/>
        <v/>
      </c>
      <c r="BX19" s="53">
        <f t="shared" si="35"/>
        <v>0.33</v>
      </c>
      <c r="BY19" s="53">
        <f t="shared" si="36"/>
        <v>0.45</v>
      </c>
      <c r="BZ19" s="53">
        <f t="shared" si="37"/>
        <v>0.45</v>
      </c>
      <c r="CA19" s="53" t="str">
        <f t="shared" si="38"/>
        <v/>
      </c>
      <c r="CB19" s="53">
        <f t="shared" si="39"/>
        <v>1</v>
      </c>
      <c r="CC19" s="53" t="str">
        <f t="shared" si="40"/>
        <v>Flat</v>
      </c>
      <c r="CD19" s="53" t="str">
        <f t="shared" si="41"/>
        <v/>
      </c>
    </row>
    <row r="20" spans="1:82">
      <c r="A20" s="47"/>
      <c r="B20" s="19" t="s">
        <v>176</v>
      </c>
      <c r="C20" s="19" t="s">
        <v>400</v>
      </c>
      <c r="D20" s="19" t="s">
        <v>415</v>
      </c>
      <c r="E20" s="19"/>
      <c r="F20" s="53">
        <f t="shared" si="55"/>
        <v>268.16996376645449</v>
      </c>
      <c r="G20" s="53">
        <f t="shared" si="56"/>
        <v>687.07598559771361</v>
      </c>
      <c r="H20" s="53">
        <f t="shared" si="1"/>
        <v>477.62297468208408</v>
      </c>
      <c r="I20" s="16"/>
      <c r="J20" s="26">
        <v>1</v>
      </c>
      <c r="K20" s="16" t="str">
        <f t="shared" si="4"/>
        <v>Flat</v>
      </c>
      <c r="M20" s="53">
        <f>bebcs_cc_lo</f>
        <v>294.46113668473441</v>
      </c>
      <c r="N20" s="53">
        <f>bebcs_cc_hi</f>
        <v>687.07598559771361</v>
      </c>
      <c r="O20" s="53">
        <f>(N20+M20)/2</f>
        <v>490.76856114122404</v>
      </c>
      <c r="P20" s="16"/>
      <c r="Q20" s="26">
        <v>1</v>
      </c>
      <c r="R20" s="16" t="str">
        <f t="shared" si="5"/>
        <v>Flat</v>
      </c>
      <c r="S20"/>
      <c r="T20" s="53">
        <f>bebcs_cc_lo</f>
        <v>294.46113668473441</v>
      </c>
      <c r="U20" s="53">
        <f>bebcs_cc_hi</f>
        <v>687.07598559771361</v>
      </c>
      <c r="V20" s="53">
        <f>(U20+T20)/2</f>
        <v>490.76856114122404</v>
      </c>
      <c r="W20" s="16"/>
      <c r="X20" s="26">
        <v>1</v>
      </c>
      <c r="Y20" s="16" t="str">
        <f t="shared" si="6"/>
        <v>Flat</v>
      </c>
      <c r="AA20" s="53">
        <f>bebcs_cc_lo2050</f>
        <v>268.16996376645449</v>
      </c>
      <c r="AB20" s="53">
        <f>bebcs_cc_hi2050</f>
        <v>461.52073780048443</v>
      </c>
      <c r="AC20" s="53">
        <f>(AB20+AA20)/2</f>
        <v>364.84535078346948</v>
      </c>
      <c r="AD20" s="16"/>
      <c r="AE20" s="26">
        <v>1</v>
      </c>
      <c r="AF20" s="16" t="str">
        <f t="shared" si="7"/>
        <v>Flat</v>
      </c>
      <c r="AH20" s="53">
        <f>bebcs_cc_lo2100</f>
        <v>268.16996376645449</v>
      </c>
      <c r="AI20" s="53">
        <f>bebcs_cc_hi2100</f>
        <v>461.52073780048443</v>
      </c>
      <c r="AJ20" s="53">
        <f>(AI20+AH20)/2</f>
        <v>364.84535078346948</v>
      </c>
      <c r="AK20" s="16"/>
      <c r="AL20" s="26">
        <v>1</v>
      </c>
      <c r="AM20" s="16" t="str">
        <f t="shared" si="8"/>
        <v>Flat</v>
      </c>
      <c r="AO20" s="53">
        <f t="shared" si="9"/>
        <v>294.46113668473441</v>
      </c>
      <c r="AP20" s="53">
        <f t="shared" si="46"/>
        <v>687.07598559771361</v>
      </c>
      <c r="AQ20" s="53">
        <f t="shared" si="47"/>
        <v>490.76856114122404</v>
      </c>
      <c r="AR20" s="53" t="str">
        <f t="shared" si="48"/>
        <v/>
      </c>
      <c r="AS20" s="53">
        <f t="shared" si="49"/>
        <v>1</v>
      </c>
      <c r="AT20" s="53" t="str">
        <f t="shared" si="50"/>
        <v>Flat</v>
      </c>
      <c r="AU20" s="53" t="str">
        <f t="shared" si="51"/>
        <v/>
      </c>
      <c r="AV20" s="53">
        <f t="shared" si="52"/>
        <v>268.16996376645449</v>
      </c>
      <c r="AW20" s="53">
        <f t="shared" si="53"/>
        <v>461.52073780048443</v>
      </c>
      <c r="AX20" s="53">
        <f t="shared" si="54"/>
        <v>364.84535078346948</v>
      </c>
      <c r="AY20" s="53" t="str">
        <f t="shared" si="10"/>
        <v/>
      </c>
      <c r="AZ20" s="53">
        <f t="shared" si="11"/>
        <v>1</v>
      </c>
      <c r="BA20" s="53" t="str">
        <f t="shared" si="12"/>
        <v>Flat</v>
      </c>
      <c r="BB20" s="53" t="str">
        <f t="shared" si="13"/>
        <v/>
      </c>
      <c r="BC20" s="53">
        <f t="shared" si="14"/>
        <v>268.16996376645449</v>
      </c>
      <c r="BD20" s="53">
        <f t="shared" si="15"/>
        <v>461.52073780048443</v>
      </c>
      <c r="BE20" s="53">
        <f t="shared" si="16"/>
        <v>364.84535078346948</v>
      </c>
      <c r="BF20" s="53" t="str">
        <f t="shared" si="17"/>
        <v/>
      </c>
      <c r="BG20" s="53">
        <f t="shared" si="18"/>
        <v>1</v>
      </c>
      <c r="BH20" s="53" t="str">
        <f t="shared" si="19"/>
        <v>Flat</v>
      </c>
      <c r="BI20" s="53" t="str">
        <f t="shared" si="20"/>
        <v/>
      </c>
      <c r="BJ20" s="53">
        <f t="shared" si="21"/>
        <v>294.46113668473441</v>
      </c>
      <c r="BK20" s="53">
        <f t="shared" si="22"/>
        <v>687.07598559771361</v>
      </c>
      <c r="BL20" s="53">
        <f t="shared" si="23"/>
        <v>490.76856114122404</v>
      </c>
      <c r="BM20" s="53" t="str">
        <f t="shared" si="24"/>
        <v/>
      </c>
      <c r="BN20" s="53">
        <f t="shared" si="25"/>
        <v>1</v>
      </c>
      <c r="BO20" s="53" t="str">
        <f t="shared" si="26"/>
        <v>Flat</v>
      </c>
      <c r="BP20" s="53" t="str">
        <f t="shared" si="27"/>
        <v/>
      </c>
      <c r="BQ20" s="53">
        <f t="shared" si="28"/>
        <v>268.16996376645449</v>
      </c>
      <c r="BR20" s="53">
        <f t="shared" si="29"/>
        <v>461.52073780048443</v>
      </c>
      <c r="BS20" s="53">
        <f t="shared" si="30"/>
        <v>364.84535078346948</v>
      </c>
      <c r="BT20" s="53" t="str">
        <f t="shared" si="31"/>
        <v/>
      </c>
      <c r="BU20" s="53">
        <f t="shared" si="32"/>
        <v>1</v>
      </c>
      <c r="BV20" s="53" t="str">
        <f t="shared" si="33"/>
        <v>Flat</v>
      </c>
      <c r="BW20" s="53" t="str">
        <f t="shared" si="34"/>
        <v/>
      </c>
      <c r="BX20" s="53">
        <f t="shared" si="35"/>
        <v>268.16996376645449</v>
      </c>
      <c r="BY20" s="53">
        <f t="shared" si="36"/>
        <v>461.52073780048443</v>
      </c>
      <c r="BZ20" s="53">
        <f t="shared" si="37"/>
        <v>364.84535078346948</v>
      </c>
      <c r="CA20" s="53" t="str">
        <f t="shared" si="38"/>
        <v/>
      </c>
      <c r="CB20" s="53">
        <f t="shared" si="39"/>
        <v>1</v>
      </c>
      <c r="CC20" s="53" t="str">
        <f t="shared" si="40"/>
        <v>Flat</v>
      </c>
      <c r="CD20" s="53" t="str">
        <f t="shared" si="41"/>
        <v/>
      </c>
    </row>
    <row r="21" spans="1:82">
      <c r="A21" s="47"/>
      <c r="B21" s="19"/>
      <c r="C21" s="19" t="s">
        <v>189</v>
      </c>
      <c r="D21" s="19" t="s">
        <v>213</v>
      </c>
      <c r="E21" s="19"/>
      <c r="F21" s="53">
        <f t="shared" si="55"/>
        <v>1</v>
      </c>
      <c r="G21" s="53">
        <f t="shared" si="56"/>
        <v>1</v>
      </c>
      <c r="H21" s="53">
        <f t="shared" si="1"/>
        <v>1</v>
      </c>
      <c r="I21" s="16"/>
      <c r="J21" s="26">
        <v>1</v>
      </c>
      <c r="K21" s="16" t="str">
        <f t="shared" si="4"/>
        <v>Flat</v>
      </c>
      <c r="M21" s="63">
        <v>1</v>
      </c>
      <c r="N21" s="63">
        <v>1</v>
      </c>
      <c r="O21" s="63">
        <v>1</v>
      </c>
      <c r="P21" s="16"/>
      <c r="Q21" s="26">
        <v>1</v>
      </c>
      <c r="R21" s="16" t="str">
        <f t="shared" si="5"/>
        <v>Flat</v>
      </c>
      <c r="S21"/>
      <c r="T21" s="63">
        <v>1</v>
      </c>
      <c r="U21" s="63">
        <v>1</v>
      </c>
      <c r="V21" s="63">
        <v>1</v>
      </c>
      <c r="W21" s="16"/>
      <c r="X21" s="26">
        <v>1</v>
      </c>
      <c r="Y21" s="16" t="str">
        <f t="shared" si="6"/>
        <v>Flat</v>
      </c>
      <c r="AA21" s="63">
        <v>1</v>
      </c>
      <c r="AB21" s="63">
        <v>1</v>
      </c>
      <c r="AC21" s="63">
        <v>1</v>
      </c>
      <c r="AD21" s="16"/>
      <c r="AE21" s="26">
        <v>1</v>
      </c>
      <c r="AF21" s="16" t="str">
        <f t="shared" si="7"/>
        <v>Flat</v>
      </c>
      <c r="AH21" s="63">
        <v>1</v>
      </c>
      <c r="AI21" s="63">
        <v>1</v>
      </c>
      <c r="AJ21" s="63">
        <v>1</v>
      </c>
      <c r="AK21" s="16"/>
      <c r="AL21" s="26">
        <v>1</v>
      </c>
      <c r="AM21" s="16" t="str">
        <f t="shared" si="8"/>
        <v>Flat</v>
      </c>
      <c r="AO21" s="53">
        <f t="shared" si="9"/>
        <v>1</v>
      </c>
      <c r="AP21" s="53">
        <f t="shared" si="46"/>
        <v>1</v>
      </c>
      <c r="AQ21" s="53">
        <f t="shared" si="47"/>
        <v>1</v>
      </c>
      <c r="AR21" s="53" t="str">
        <f t="shared" si="48"/>
        <v/>
      </c>
      <c r="AS21" s="53">
        <f t="shared" si="49"/>
        <v>1</v>
      </c>
      <c r="AT21" s="53" t="str">
        <f t="shared" si="50"/>
        <v>Flat</v>
      </c>
      <c r="AU21" s="53" t="str">
        <f t="shared" si="51"/>
        <v/>
      </c>
      <c r="AV21" s="53">
        <f t="shared" si="52"/>
        <v>1</v>
      </c>
      <c r="AW21" s="53">
        <f t="shared" si="53"/>
        <v>1</v>
      </c>
      <c r="AX21" s="53">
        <f t="shared" si="54"/>
        <v>1</v>
      </c>
      <c r="AY21" s="53" t="str">
        <f t="shared" si="10"/>
        <v/>
      </c>
      <c r="AZ21" s="53">
        <f t="shared" si="11"/>
        <v>1</v>
      </c>
      <c r="BA21" s="53" t="str">
        <f t="shared" si="12"/>
        <v>Flat</v>
      </c>
      <c r="BB21" s="53" t="str">
        <f t="shared" si="13"/>
        <v/>
      </c>
      <c r="BC21" s="53">
        <f t="shared" si="14"/>
        <v>1</v>
      </c>
      <c r="BD21" s="53">
        <f t="shared" si="15"/>
        <v>1</v>
      </c>
      <c r="BE21" s="53">
        <f t="shared" si="16"/>
        <v>1</v>
      </c>
      <c r="BF21" s="53" t="str">
        <f t="shared" si="17"/>
        <v/>
      </c>
      <c r="BG21" s="53">
        <f t="shared" si="18"/>
        <v>1</v>
      </c>
      <c r="BH21" s="53" t="str">
        <f t="shared" si="19"/>
        <v>Flat</v>
      </c>
      <c r="BI21" s="53" t="str">
        <f t="shared" si="20"/>
        <v/>
      </c>
      <c r="BJ21" s="53">
        <f t="shared" si="21"/>
        <v>1</v>
      </c>
      <c r="BK21" s="53">
        <f t="shared" si="22"/>
        <v>1</v>
      </c>
      <c r="BL21" s="53">
        <f t="shared" si="23"/>
        <v>1</v>
      </c>
      <c r="BM21" s="53" t="str">
        <f t="shared" si="24"/>
        <v/>
      </c>
      <c r="BN21" s="53">
        <f t="shared" si="25"/>
        <v>1</v>
      </c>
      <c r="BO21" s="53" t="str">
        <f t="shared" si="26"/>
        <v>Flat</v>
      </c>
      <c r="BP21" s="53" t="str">
        <f t="shared" si="27"/>
        <v/>
      </c>
      <c r="BQ21" s="53">
        <f t="shared" si="28"/>
        <v>1</v>
      </c>
      <c r="BR21" s="53">
        <f t="shared" si="29"/>
        <v>1</v>
      </c>
      <c r="BS21" s="53">
        <f t="shared" si="30"/>
        <v>1</v>
      </c>
      <c r="BT21" s="53" t="str">
        <f t="shared" si="31"/>
        <v/>
      </c>
      <c r="BU21" s="53">
        <f t="shared" si="32"/>
        <v>1</v>
      </c>
      <c r="BV21" s="53" t="str">
        <f t="shared" si="33"/>
        <v>Flat</v>
      </c>
      <c r="BW21" s="53" t="str">
        <f t="shared" si="34"/>
        <v/>
      </c>
      <c r="BX21" s="53">
        <f t="shared" si="35"/>
        <v>1</v>
      </c>
      <c r="BY21" s="53">
        <f t="shared" si="36"/>
        <v>1</v>
      </c>
      <c r="BZ21" s="53">
        <f t="shared" si="37"/>
        <v>1</v>
      </c>
      <c r="CA21" s="53" t="str">
        <f t="shared" si="38"/>
        <v/>
      </c>
      <c r="CB21" s="53">
        <f t="shared" si="39"/>
        <v>1</v>
      </c>
      <c r="CC21" s="53" t="str">
        <f t="shared" si="40"/>
        <v>Flat</v>
      </c>
      <c r="CD21" s="53" t="str">
        <f t="shared" si="41"/>
        <v/>
      </c>
    </row>
    <row r="22" spans="1:82">
      <c r="A22" s="47"/>
      <c r="B22" s="19"/>
      <c r="C22" s="19" t="s">
        <v>452</v>
      </c>
      <c r="D22" s="19" t="s">
        <v>453</v>
      </c>
      <c r="E22" s="19" t="s">
        <v>69</v>
      </c>
      <c r="F22" s="53">
        <f t="shared" si="55"/>
        <v>0.26</v>
      </c>
      <c r="G22" s="53">
        <f t="shared" si="56"/>
        <v>50.785280000000007</v>
      </c>
      <c r="H22" s="53">
        <f t="shared" ref="H22" si="61">AVERAGE(F22:G22)</f>
        <v>25.522640000000003</v>
      </c>
      <c r="I22" s="16"/>
      <c r="J22" s="26">
        <v>1</v>
      </c>
      <c r="K22" s="16" t="str">
        <f t="shared" si="4"/>
        <v>Flat</v>
      </c>
      <c r="M22" s="53">
        <v>0.26</v>
      </c>
      <c r="N22" s="53">
        <v>14.17</v>
      </c>
      <c r="O22" s="53">
        <f t="shared" ref="O22:O23" si="62">AVERAGE(M22:N22)</f>
        <v>7.2149999999999999</v>
      </c>
      <c r="P22" s="16"/>
      <c r="Q22" s="26">
        <v>1</v>
      </c>
      <c r="R22" s="16" t="str">
        <f t="shared" si="5"/>
        <v>Flat</v>
      </c>
      <c r="S22"/>
      <c r="T22" s="53">
        <f>M22*T10/M10</f>
        <v>0.29120000000000001</v>
      </c>
      <c r="U22" s="53">
        <f>N22*U10/N10</f>
        <v>15.870400000000002</v>
      </c>
      <c r="V22" s="53">
        <f>(T22+U22)/2</f>
        <v>8.0808000000000018</v>
      </c>
      <c r="W22" s="16"/>
      <c r="X22" s="26">
        <v>1</v>
      </c>
      <c r="Y22" s="16" t="str">
        <f t="shared" si="6"/>
        <v>Flat</v>
      </c>
      <c r="Z22" s="16"/>
      <c r="AA22" s="53">
        <f>T22*AA10/T10</f>
        <v>0.46592000000000006</v>
      </c>
      <c r="AB22" s="53">
        <f>U22*AB10/U10</f>
        <v>25.392640000000004</v>
      </c>
      <c r="AC22" s="53">
        <f>(AA22+AB22)/2</f>
        <v>12.929280000000002</v>
      </c>
      <c r="AD22" s="16"/>
      <c r="AE22" s="26">
        <v>1</v>
      </c>
      <c r="AF22" s="16" t="str">
        <f t="shared" si="7"/>
        <v>Flat</v>
      </c>
      <c r="AH22" s="53">
        <f>AA22*AH10/AA10</f>
        <v>0.93184000000000022</v>
      </c>
      <c r="AI22" s="53">
        <f>AB22*AI10/AB10</f>
        <v>50.785280000000007</v>
      </c>
      <c r="AJ22" s="53">
        <f>(AH22+AI22)/2</f>
        <v>25.858560000000004</v>
      </c>
      <c r="AK22" s="16"/>
      <c r="AL22" s="26">
        <v>1</v>
      </c>
      <c r="AM22" s="16" t="str">
        <f t="shared" si="8"/>
        <v>Flat</v>
      </c>
      <c r="AO22" s="53">
        <f t="shared" si="9"/>
        <v>0.29120000000000001</v>
      </c>
      <c r="AP22" s="53">
        <f t="shared" si="46"/>
        <v>15.870400000000002</v>
      </c>
      <c r="AQ22" s="53">
        <f t="shared" si="47"/>
        <v>8.0808000000000018</v>
      </c>
      <c r="AR22" s="53" t="str">
        <f t="shared" si="48"/>
        <v/>
      </c>
      <c r="AS22" s="53">
        <f t="shared" si="49"/>
        <v>1</v>
      </c>
      <c r="AT22" s="53" t="str">
        <f t="shared" si="50"/>
        <v>Flat</v>
      </c>
      <c r="AU22" s="53" t="str">
        <f t="shared" si="51"/>
        <v/>
      </c>
      <c r="AV22" s="53">
        <f t="shared" si="52"/>
        <v>0.46592000000000006</v>
      </c>
      <c r="AW22" s="53">
        <f t="shared" si="53"/>
        <v>25.392640000000004</v>
      </c>
      <c r="AX22" s="53">
        <f t="shared" si="54"/>
        <v>12.929280000000002</v>
      </c>
      <c r="AY22" s="53" t="str">
        <f t="shared" si="10"/>
        <v/>
      </c>
      <c r="AZ22" s="53">
        <f t="shared" si="11"/>
        <v>1</v>
      </c>
      <c r="BA22" s="53" t="str">
        <f t="shared" si="12"/>
        <v>Flat</v>
      </c>
      <c r="BB22" s="53" t="str">
        <f t="shared" si="13"/>
        <v/>
      </c>
      <c r="BC22" s="53">
        <f t="shared" si="14"/>
        <v>0.93184000000000022</v>
      </c>
      <c r="BD22" s="53">
        <f t="shared" si="15"/>
        <v>50.785280000000007</v>
      </c>
      <c r="BE22" s="53">
        <f t="shared" si="16"/>
        <v>25.858560000000004</v>
      </c>
      <c r="BF22" s="53" t="str">
        <f t="shared" si="17"/>
        <v/>
      </c>
      <c r="BG22" s="53">
        <f t="shared" si="18"/>
        <v>1</v>
      </c>
      <c r="BH22" s="53" t="str">
        <f t="shared" si="19"/>
        <v>Flat</v>
      </c>
      <c r="BI22" s="53" t="str">
        <f t="shared" si="20"/>
        <v/>
      </c>
      <c r="BJ22" s="53">
        <f t="shared" si="21"/>
        <v>0.29120000000000001</v>
      </c>
      <c r="BK22" s="53">
        <f t="shared" si="22"/>
        <v>15.870400000000002</v>
      </c>
      <c r="BL22" s="53">
        <f t="shared" si="23"/>
        <v>8.0808000000000018</v>
      </c>
      <c r="BM22" s="53" t="str">
        <f t="shared" si="24"/>
        <v/>
      </c>
      <c r="BN22" s="53">
        <f t="shared" si="25"/>
        <v>1</v>
      </c>
      <c r="BO22" s="53" t="str">
        <f t="shared" si="26"/>
        <v>Flat</v>
      </c>
      <c r="BP22" s="53" t="str">
        <f t="shared" si="27"/>
        <v/>
      </c>
      <c r="BQ22" s="53">
        <f t="shared" si="28"/>
        <v>0.46592000000000006</v>
      </c>
      <c r="BR22" s="53">
        <f t="shared" si="29"/>
        <v>25.392640000000004</v>
      </c>
      <c r="BS22" s="53">
        <f t="shared" si="30"/>
        <v>12.929280000000002</v>
      </c>
      <c r="BT22" s="53" t="str">
        <f t="shared" si="31"/>
        <v/>
      </c>
      <c r="BU22" s="53">
        <f t="shared" si="32"/>
        <v>1</v>
      </c>
      <c r="BV22" s="53" t="str">
        <f t="shared" si="33"/>
        <v>Flat</v>
      </c>
      <c r="BW22" s="53" t="str">
        <f t="shared" si="34"/>
        <v/>
      </c>
      <c r="BX22" s="53">
        <f t="shared" si="35"/>
        <v>0.93184000000000022</v>
      </c>
      <c r="BY22" s="53">
        <f t="shared" si="36"/>
        <v>50.785280000000007</v>
      </c>
      <c r="BZ22" s="53">
        <f t="shared" si="37"/>
        <v>25.858560000000004</v>
      </c>
      <c r="CA22" s="53" t="str">
        <f t="shared" si="38"/>
        <v/>
      </c>
      <c r="CB22" s="53">
        <f t="shared" si="39"/>
        <v>1</v>
      </c>
      <c r="CC22" s="53" t="str">
        <f t="shared" si="40"/>
        <v>Flat</v>
      </c>
      <c r="CD22" s="53" t="str">
        <f t="shared" si="41"/>
        <v/>
      </c>
    </row>
    <row r="23" spans="1:82">
      <c r="A23" s="47"/>
      <c r="B23" s="19"/>
      <c r="C23" s="19" t="s">
        <v>555</v>
      </c>
      <c r="D23" s="19" t="s">
        <v>556</v>
      </c>
      <c r="E23" s="19" t="s">
        <v>557</v>
      </c>
      <c r="F23" s="53">
        <f t="shared" ref="F23" si="63">MIN(T23,AA23,AH23,M23)</f>
        <v>0</v>
      </c>
      <c r="G23" s="53">
        <f t="shared" ref="G23" si="64">MAX(U23,AB23,AI23,N23)</f>
        <v>175.61600000000001</v>
      </c>
      <c r="H23" s="53">
        <f t="shared" ref="H23" si="65">AVERAGE(F23:G23)</f>
        <v>87.808000000000007</v>
      </c>
      <c r="I23" s="16"/>
      <c r="J23" s="26">
        <v>1</v>
      </c>
      <c r="K23" s="16" t="str">
        <f t="shared" si="4"/>
        <v>Flat</v>
      </c>
      <c r="M23" s="53">
        <v>0</v>
      </c>
      <c r="N23" s="53">
        <v>49</v>
      </c>
      <c r="O23" s="53">
        <f t="shared" si="62"/>
        <v>24.5</v>
      </c>
      <c r="P23" s="16"/>
      <c r="Q23" s="26">
        <v>1</v>
      </c>
      <c r="R23" s="16" t="str">
        <f t="shared" si="5"/>
        <v>Flat</v>
      </c>
      <c r="S23"/>
      <c r="T23" s="53">
        <f>M23*T10/M10</f>
        <v>0</v>
      </c>
      <c r="U23" s="53">
        <f>N23*U10/N10</f>
        <v>54.88</v>
      </c>
      <c r="V23" s="53">
        <f>(T23+U23)/2</f>
        <v>27.44</v>
      </c>
      <c r="W23" s="16"/>
      <c r="X23" s="26">
        <v>1</v>
      </c>
      <c r="Y23" s="16" t="str">
        <f t="shared" si="6"/>
        <v>Flat</v>
      </c>
      <c r="Z23" s="16"/>
      <c r="AA23" s="53">
        <f>T23*AA10/T10</f>
        <v>0</v>
      </c>
      <c r="AB23" s="53">
        <f>U23*AB10/U10</f>
        <v>87.808000000000007</v>
      </c>
      <c r="AC23" s="53">
        <f>(AA23+AB23)/2</f>
        <v>43.904000000000003</v>
      </c>
      <c r="AD23" s="16"/>
      <c r="AE23" s="26">
        <v>1</v>
      </c>
      <c r="AF23" s="16" t="str">
        <f t="shared" si="7"/>
        <v>Flat</v>
      </c>
      <c r="AH23" s="53">
        <f>AA23*AH10/AA10</f>
        <v>0</v>
      </c>
      <c r="AI23" s="53">
        <f>AB23*AI10/AB10</f>
        <v>175.61600000000001</v>
      </c>
      <c r="AJ23" s="53">
        <f>(AH23+AI23)/2</f>
        <v>87.808000000000007</v>
      </c>
      <c r="AK23" s="16"/>
      <c r="AL23" s="26">
        <v>1</v>
      </c>
      <c r="AM23" s="16" t="str">
        <f t="shared" si="8"/>
        <v>Flat</v>
      </c>
      <c r="AO23" s="53">
        <f t="shared" ref="AO23" si="66">IF(T23&lt;&gt;"",T23,"")</f>
        <v>0</v>
      </c>
      <c r="AP23" s="53">
        <f t="shared" ref="AP23" si="67">IF(U23&lt;&gt;"",U23,"")</f>
        <v>54.88</v>
      </c>
      <c r="AQ23" s="53">
        <f t="shared" ref="AQ23" si="68">IF(V23&lt;&gt;"",V23,"")</f>
        <v>27.44</v>
      </c>
      <c r="AR23" s="53" t="str">
        <f t="shared" si="48"/>
        <v/>
      </c>
      <c r="AS23" s="53">
        <f t="shared" si="49"/>
        <v>1</v>
      </c>
      <c r="AT23" s="53" t="str">
        <f t="shared" si="50"/>
        <v>Flat</v>
      </c>
      <c r="AU23" s="53" t="str">
        <f t="shared" si="51"/>
        <v/>
      </c>
      <c r="AV23" s="53">
        <f t="shared" si="52"/>
        <v>0</v>
      </c>
      <c r="AW23" s="53">
        <f t="shared" si="53"/>
        <v>87.808000000000007</v>
      </c>
      <c r="AX23" s="53">
        <f t="shared" si="54"/>
        <v>43.904000000000003</v>
      </c>
      <c r="AY23" s="53" t="str">
        <f t="shared" si="10"/>
        <v/>
      </c>
      <c r="AZ23" s="53">
        <f t="shared" si="11"/>
        <v>1</v>
      </c>
      <c r="BA23" s="53" t="str">
        <f t="shared" si="12"/>
        <v>Flat</v>
      </c>
      <c r="BB23" s="53" t="str">
        <f t="shared" si="13"/>
        <v/>
      </c>
      <c r="BC23" s="53">
        <f t="shared" si="14"/>
        <v>0</v>
      </c>
      <c r="BD23" s="53">
        <f t="shared" si="15"/>
        <v>175.61600000000001</v>
      </c>
      <c r="BE23" s="53">
        <f t="shared" si="16"/>
        <v>87.808000000000007</v>
      </c>
      <c r="BF23" s="53" t="str">
        <f t="shared" si="17"/>
        <v/>
      </c>
      <c r="BG23" s="53">
        <f t="shared" si="18"/>
        <v>1</v>
      </c>
      <c r="BH23" s="53" t="str">
        <f t="shared" si="19"/>
        <v>Flat</v>
      </c>
      <c r="BI23" s="53" t="str">
        <f t="shared" si="20"/>
        <v/>
      </c>
      <c r="BJ23" s="53">
        <f t="shared" si="21"/>
        <v>0</v>
      </c>
      <c r="BK23" s="53">
        <f t="shared" si="22"/>
        <v>54.88</v>
      </c>
      <c r="BL23" s="53">
        <f t="shared" si="23"/>
        <v>27.44</v>
      </c>
      <c r="BM23" s="53" t="str">
        <f t="shared" si="24"/>
        <v/>
      </c>
      <c r="BN23" s="53">
        <f t="shared" si="25"/>
        <v>1</v>
      </c>
      <c r="BO23" s="53" t="str">
        <f t="shared" si="26"/>
        <v>Flat</v>
      </c>
      <c r="BP23" s="53" t="str">
        <f t="shared" si="27"/>
        <v/>
      </c>
      <c r="BQ23" s="53">
        <f t="shared" si="28"/>
        <v>0</v>
      </c>
      <c r="BR23" s="53">
        <f t="shared" si="29"/>
        <v>87.808000000000007</v>
      </c>
      <c r="BS23" s="53">
        <f t="shared" si="30"/>
        <v>43.904000000000003</v>
      </c>
      <c r="BT23" s="53" t="str">
        <f t="shared" si="31"/>
        <v/>
      </c>
      <c r="BU23" s="53">
        <f t="shared" si="32"/>
        <v>1</v>
      </c>
      <c r="BV23" s="53" t="str">
        <f t="shared" si="33"/>
        <v>Flat</v>
      </c>
      <c r="BW23" s="53" t="str">
        <f t="shared" si="34"/>
        <v/>
      </c>
      <c r="BX23" s="53">
        <f t="shared" si="35"/>
        <v>0</v>
      </c>
      <c r="BY23" s="53">
        <f t="shared" si="36"/>
        <v>175.61600000000001</v>
      </c>
      <c r="BZ23" s="53">
        <f t="shared" si="37"/>
        <v>87.808000000000007</v>
      </c>
      <c r="CA23" s="53" t="str">
        <f t="shared" si="38"/>
        <v/>
      </c>
      <c r="CB23" s="53">
        <f t="shared" si="39"/>
        <v>1</v>
      </c>
      <c r="CC23" s="53" t="str">
        <f t="shared" si="40"/>
        <v>Flat</v>
      </c>
      <c r="CD23" s="53" t="str">
        <f t="shared" si="41"/>
        <v/>
      </c>
    </row>
    <row r="24" spans="1:82">
      <c r="A24" s="47"/>
      <c r="B24" s="19" t="s">
        <v>182</v>
      </c>
      <c r="C24" s="19" t="s">
        <v>132</v>
      </c>
      <c r="D24" s="19" t="s">
        <v>230</v>
      </c>
      <c r="E24" s="19" t="s">
        <v>140</v>
      </c>
      <c r="F24" s="53">
        <f t="shared" si="55"/>
        <v>25</v>
      </c>
      <c r="G24" s="53">
        <f t="shared" si="56"/>
        <v>200</v>
      </c>
      <c r="H24" s="53">
        <f t="shared" ref="H24:H36" si="69">AVERAGE(F24:G24)</f>
        <v>112.5</v>
      </c>
      <c r="I24" s="16"/>
      <c r="J24" s="26">
        <v>1</v>
      </c>
      <c r="K24" s="16" t="str">
        <f t="shared" si="4"/>
        <v>Flat</v>
      </c>
      <c r="L24" s="129" t="s">
        <v>469</v>
      </c>
      <c r="M24" s="53">
        <v>25</v>
      </c>
      <c r="N24" s="53">
        <v>200</v>
      </c>
      <c r="O24" s="53">
        <v>100</v>
      </c>
      <c r="P24" s="16"/>
      <c r="Q24" s="26">
        <v>1</v>
      </c>
      <c r="R24" s="16" t="str">
        <f t="shared" si="5"/>
        <v>Flat</v>
      </c>
      <c r="S24"/>
      <c r="T24" s="63">
        <v>25</v>
      </c>
      <c r="U24" s="63">
        <v>200</v>
      </c>
      <c r="V24" s="63">
        <v>100</v>
      </c>
      <c r="W24" s="16"/>
      <c r="X24" s="26">
        <v>1</v>
      </c>
      <c r="Y24" s="16" t="str">
        <f t="shared" si="6"/>
        <v>Flat</v>
      </c>
      <c r="AA24" s="53">
        <v>25</v>
      </c>
      <c r="AB24" s="53">
        <v>200</v>
      </c>
      <c r="AC24" s="53">
        <v>100</v>
      </c>
      <c r="AD24" s="16"/>
      <c r="AE24" s="26">
        <v>1</v>
      </c>
      <c r="AF24" s="16" t="str">
        <f t="shared" si="7"/>
        <v>Flat</v>
      </c>
      <c r="AH24" s="53">
        <v>25</v>
      </c>
      <c r="AI24" s="53">
        <v>200</v>
      </c>
      <c r="AJ24" s="53">
        <v>100</v>
      </c>
      <c r="AK24" s="16"/>
      <c r="AL24" s="26">
        <v>1</v>
      </c>
      <c r="AM24" s="16" t="str">
        <f t="shared" si="8"/>
        <v>Flat</v>
      </c>
      <c r="AO24" s="53">
        <f t="shared" si="9"/>
        <v>25</v>
      </c>
      <c r="AP24" s="53">
        <f t="shared" si="46"/>
        <v>200</v>
      </c>
      <c r="AQ24" s="53">
        <f t="shared" si="47"/>
        <v>100</v>
      </c>
      <c r="AR24" s="53" t="str">
        <f t="shared" si="48"/>
        <v/>
      </c>
      <c r="AS24" s="53">
        <f t="shared" si="49"/>
        <v>1</v>
      </c>
      <c r="AT24" s="53" t="str">
        <f t="shared" si="50"/>
        <v>Flat</v>
      </c>
      <c r="AU24" s="53" t="str">
        <f t="shared" si="51"/>
        <v/>
      </c>
      <c r="AV24" s="53">
        <f t="shared" si="52"/>
        <v>25</v>
      </c>
      <c r="AW24" s="53">
        <f t="shared" si="53"/>
        <v>200</v>
      </c>
      <c r="AX24" s="53">
        <f t="shared" si="54"/>
        <v>100</v>
      </c>
      <c r="AY24" s="53" t="str">
        <f t="shared" si="10"/>
        <v/>
      </c>
      <c r="AZ24" s="53">
        <f t="shared" si="11"/>
        <v>1</v>
      </c>
      <c r="BA24" s="53" t="str">
        <f t="shared" si="12"/>
        <v>Flat</v>
      </c>
      <c r="BB24" s="53" t="str">
        <f t="shared" si="13"/>
        <v/>
      </c>
      <c r="BC24" s="53">
        <f t="shared" si="14"/>
        <v>25</v>
      </c>
      <c r="BD24" s="53">
        <f t="shared" si="15"/>
        <v>200</v>
      </c>
      <c r="BE24" s="53">
        <f t="shared" si="16"/>
        <v>100</v>
      </c>
      <c r="BF24" s="53" t="str">
        <f t="shared" si="17"/>
        <v/>
      </c>
      <c r="BG24" s="53">
        <f t="shared" si="18"/>
        <v>1</v>
      </c>
      <c r="BH24" s="53" t="str">
        <f t="shared" si="19"/>
        <v>Flat</v>
      </c>
      <c r="BI24" s="53" t="str">
        <f t="shared" si="20"/>
        <v/>
      </c>
      <c r="BJ24" s="53">
        <f t="shared" si="21"/>
        <v>25</v>
      </c>
      <c r="BK24" s="53">
        <f t="shared" si="22"/>
        <v>200</v>
      </c>
      <c r="BL24" s="53">
        <f t="shared" si="23"/>
        <v>100</v>
      </c>
      <c r="BM24" s="53" t="str">
        <f t="shared" si="24"/>
        <v/>
      </c>
      <c r="BN24" s="53">
        <f t="shared" si="25"/>
        <v>1</v>
      </c>
      <c r="BO24" s="53" t="str">
        <f t="shared" si="26"/>
        <v>Flat</v>
      </c>
      <c r="BP24" s="53" t="str">
        <f t="shared" si="27"/>
        <v/>
      </c>
      <c r="BQ24" s="53">
        <f t="shared" si="28"/>
        <v>25</v>
      </c>
      <c r="BR24" s="53">
        <f t="shared" si="29"/>
        <v>200</v>
      </c>
      <c r="BS24" s="53">
        <f t="shared" si="30"/>
        <v>100</v>
      </c>
      <c r="BT24" s="53" t="str">
        <f t="shared" si="31"/>
        <v/>
      </c>
      <c r="BU24" s="53">
        <f t="shared" si="32"/>
        <v>1</v>
      </c>
      <c r="BV24" s="53" t="str">
        <f t="shared" si="33"/>
        <v>Flat</v>
      </c>
      <c r="BW24" s="53" t="str">
        <f t="shared" si="34"/>
        <v/>
      </c>
      <c r="BX24" s="53">
        <f t="shared" si="35"/>
        <v>25</v>
      </c>
      <c r="BY24" s="53">
        <f t="shared" si="36"/>
        <v>200</v>
      </c>
      <c r="BZ24" s="53">
        <f t="shared" si="37"/>
        <v>100</v>
      </c>
      <c r="CA24" s="53" t="str">
        <f t="shared" si="38"/>
        <v/>
      </c>
      <c r="CB24" s="53">
        <f t="shared" si="39"/>
        <v>1</v>
      </c>
      <c r="CC24" s="53" t="str">
        <f t="shared" si="40"/>
        <v>Flat</v>
      </c>
      <c r="CD24" s="53" t="str">
        <f t="shared" si="41"/>
        <v/>
      </c>
    </row>
    <row r="25" spans="1:82">
      <c r="A25" s="47"/>
      <c r="B25" s="19"/>
      <c r="C25" s="19" t="s">
        <v>4</v>
      </c>
      <c r="D25" s="19" t="s">
        <v>214</v>
      </c>
      <c r="E25" s="19" t="s">
        <v>502</v>
      </c>
      <c r="F25" s="53">
        <f t="shared" si="55"/>
        <v>1.7094017094017094E-3</v>
      </c>
      <c r="G25" s="53">
        <f t="shared" si="56"/>
        <v>1.5384615384615385E-2</v>
      </c>
      <c r="H25" s="53">
        <f t="shared" si="69"/>
        <v>8.5470085470085479E-3</v>
      </c>
      <c r="I25" s="16"/>
      <c r="J25" s="26">
        <v>1</v>
      </c>
      <c r="K25" s="16" t="str">
        <f t="shared" si="4"/>
        <v>Flat</v>
      </c>
      <c r="L25" s="58" t="s">
        <v>503</v>
      </c>
      <c r="M25" s="59">
        <f>bebcs!$I$76</f>
        <v>1.7094017094017094E-3</v>
      </c>
      <c r="N25" s="59">
        <f>bebcs!$I$75</f>
        <v>1.5384615384615385E-2</v>
      </c>
      <c r="O25" s="59">
        <f>bebcs!$I$74</f>
        <v>8.5470085470085479E-3</v>
      </c>
      <c r="P25" s="16"/>
      <c r="Q25" s="26">
        <v>1</v>
      </c>
      <c r="R25" s="16" t="str">
        <f t="shared" si="5"/>
        <v>Flat</v>
      </c>
      <c r="S25"/>
      <c r="T25" s="59">
        <f>bebcs!$I$76</f>
        <v>1.7094017094017094E-3</v>
      </c>
      <c r="U25" s="59">
        <f>bebcs!$I$75</f>
        <v>1.5384615384615385E-2</v>
      </c>
      <c r="V25" s="59">
        <f>bebcs!$I$74</f>
        <v>8.5470085470085479E-3</v>
      </c>
      <c r="W25" s="16"/>
      <c r="X25" s="26">
        <v>1</v>
      </c>
      <c r="Y25" s="16" t="str">
        <f t="shared" si="6"/>
        <v>Flat</v>
      </c>
      <c r="AA25" s="59">
        <f>bebcs!$I$76</f>
        <v>1.7094017094017094E-3</v>
      </c>
      <c r="AB25" s="59">
        <f>bebcs!$I$75</f>
        <v>1.5384615384615385E-2</v>
      </c>
      <c r="AC25" s="59">
        <f>bebcs!$I$74</f>
        <v>8.5470085470085479E-3</v>
      </c>
      <c r="AD25" s="16"/>
      <c r="AE25" s="26">
        <v>1</v>
      </c>
      <c r="AF25" s="16" t="str">
        <f t="shared" si="7"/>
        <v>Flat</v>
      </c>
      <c r="AH25" s="59">
        <f>bebcs!$I$76</f>
        <v>1.7094017094017094E-3</v>
      </c>
      <c r="AI25" s="59">
        <f>bebcs!$I$75</f>
        <v>1.5384615384615385E-2</v>
      </c>
      <c r="AJ25" s="59">
        <f>bebcs!$I$74</f>
        <v>8.5470085470085479E-3</v>
      </c>
      <c r="AK25" s="16"/>
      <c r="AL25" s="26">
        <v>1</v>
      </c>
      <c r="AM25" s="16" t="str">
        <f t="shared" si="8"/>
        <v>Flat</v>
      </c>
      <c r="AO25" s="53">
        <f t="shared" si="9"/>
        <v>1.7094017094017094E-3</v>
      </c>
      <c r="AP25" s="53">
        <f t="shared" si="46"/>
        <v>1.5384615384615385E-2</v>
      </c>
      <c r="AQ25" s="53">
        <f t="shared" si="47"/>
        <v>8.5470085470085479E-3</v>
      </c>
      <c r="AR25" s="53" t="str">
        <f t="shared" si="48"/>
        <v/>
      </c>
      <c r="AS25" s="53">
        <f t="shared" si="49"/>
        <v>1</v>
      </c>
      <c r="AT25" s="53" t="str">
        <f t="shared" si="50"/>
        <v>Flat</v>
      </c>
      <c r="AU25" s="53" t="str">
        <f t="shared" si="51"/>
        <v/>
      </c>
      <c r="AV25" s="53">
        <f t="shared" si="52"/>
        <v>1.7094017094017094E-3</v>
      </c>
      <c r="AW25" s="53">
        <f t="shared" si="53"/>
        <v>1.5384615384615385E-2</v>
      </c>
      <c r="AX25" s="53">
        <f t="shared" si="54"/>
        <v>8.5470085470085479E-3</v>
      </c>
      <c r="AY25" s="53" t="str">
        <f t="shared" si="10"/>
        <v/>
      </c>
      <c r="AZ25" s="53">
        <f t="shared" si="11"/>
        <v>1</v>
      </c>
      <c r="BA25" s="53" t="str">
        <f t="shared" si="12"/>
        <v>Flat</v>
      </c>
      <c r="BB25" s="53" t="str">
        <f t="shared" si="13"/>
        <v/>
      </c>
      <c r="BC25" s="53">
        <f t="shared" si="14"/>
        <v>1.7094017094017094E-3</v>
      </c>
      <c r="BD25" s="53">
        <f t="shared" si="15"/>
        <v>1.5384615384615385E-2</v>
      </c>
      <c r="BE25" s="53">
        <f t="shared" si="16"/>
        <v>8.5470085470085479E-3</v>
      </c>
      <c r="BF25" s="53" t="str">
        <f t="shared" si="17"/>
        <v/>
      </c>
      <c r="BG25" s="53">
        <f t="shared" si="18"/>
        <v>1</v>
      </c>
      <c r="BH25" s="53" t="str">
        <f t="shared" si="19"/>
        <v>Flat</v>
      </c>
      <c r="BI25" s="53" t="str">
        <f t="shared" si="20"/>
        <v/>
      </c>
      <c r="BJ25" s="53">
        <f t="shared" si="21"/>
        <v>1.7094017094017094E-3</v>
      </c>
      <c r="BK25" s="53">
        <f t="shared" si="22"/>
        <v>1.5384615384615385E-2</v>
      </c>
      <c r="BL25" s="53">
        <f t="shared" si="23"/>
        <v>8.5470085470085479E-3</v>
      </c>
      <c r="BM25" s="53" t="str">
        <f t="shared" si="24"/>
        <v/>
      </c>
      <c r="BN25" s="53">
        <f t="shared" si="25"/>
        <v>1</v>
      </c>
      <c r="BO25" s="53" t="str">
        <f t="shared" si="26"/>
        <v>Flat</v>
      </c>
      <c r="BP25" s="53" t="str">
        <f t="shared" si="27"/>
        <v/>
      </c>
      <c r="BQ25" s="53">
        <f t="shared" si="28"/>
        <v>1.7094017094017094E-3</v>
      </c>
      <c r="BR25" s="53">
        <f t="shared" si="29"/>
        <v>1.5384615384615385E-2</v>
      </c>
      <c r="BS25" s="53">
        <f t="shared" si="30"/>
        <v>8.5470085470085479E-3</v>
      </c>
      <c r="BT25" s="53" t="str">
        <f t="shared" si="31"/>
        <v/>
      </c>
      <c r="BU25" s="53">
        <f t="shared" si="32"/>
        <v>1</v>
      </c>
      <c r="BV25" s="53" t="str">
        <f t="shared" si="33"/>
        <v>Flat</v>
      </c>
      <c r="BW25" s="53" t="str">
        <f t="shared" si="34"/>
        <v/>
      </c>
      <c r="BX25" s="53">
        <f t="shared" si="35"/>
        <v>1.7094017094017094E-3</v>
      </c>
      <c r="BY25" s="53">
        <f t="shared" si="36"/>
        <v>1.5384615384615385E-2</v>
      </c>
      <c r="BZ25" s="53">
        <f t="shared" si="37"/>
        <v>8.5470085470085479E-3</v>
      </c>
      <c r="CA25" s="53" t="str">
        <f t="shared" si="38"/>
        <v/>
      </c>
      <c r="CB25" s="53">
        <f t="shared" si="39"/>
        <v>1</v>
      </c>
      <c r="CC25" s="53" t="str">
        <f t="shared" si="40"/>
        <v>Flat</v>
      </c>
      <c r="CD25" s="53" t="str">
        <f t="shared" si="41"/>
        <v/>
      </c>
    </row>
    <row r="26" spans="1:82">
      <c r="A26" s="47"/>
      <c r="B26" s="19"/>
      <c r="C26" s="19" t="s">
        <v>139</v>
      </c>
      <c r="D26" s="19" t="s">
        <v>215</v>
      </c>
      <c r="E26" s="19" t="s">
        <v>8</v>
      </c>
      <c r="F26" s="53">
        <v>1</v>
      </c>
      <c r="G26" s="53">
        <f t="shared" si="56"/>
        <v>100</v>
      </c>
      <c r="H26" s="53">
        <f t="shared" si="69"/>
        <v>50.5</v>
      </c>
      <c r="I26" s="16"/>
      <c r="J26" s="26">
        <v>3</v>
      </c>
      <c r="K26" s="16" t="str">
        <f t="shared" si="4"/>
        <v>Log-normal</v>
      </c>
      <c r="M26" s="53">
        <v>1</v>
      </c>
      <c r="N26" s="53">
        <v>100</v>
      </c>
      <c r="O26" s="53">
        <f>(M26+N26)/2</f>
        <v>50.5</v>
      </c>
      <c r="P26" s="16"/>
      <c r="Q26" s="26">
        <v>3</v>
      </c>
      <c r="R26" s="16" t="str">
        <f t="shared" si="5"/>
        <v>Log-normal</v>
      </c>
      <c r="S26"/>
      <c r="T26" s="53">
        <v>1</v>
      </c>
      <c r="U26" s="53">
        <v>100</v>
      </c>
      <c r="V26" s="53">
        <f>(T26+U26)/2</f>
        <v>50.5</v>
      </c>
      <c r="W26" s="16"/>
      <c r="X26" s="26">
        <v>3</v>
      </c>
      <c r="Y26" s="16" t="str">
        <f t="shared" si="6"/>
        <v>Log-normal</v>
      </c>
      <c r="AA26" s="53">
        <v>1</v>
      </c>
      <c r="AB26" s="53">
        <v>100</v>
      </c>
      <c r="AC26" s="53">
        <f>(AA26+AB26)/2</f>
        <v>50.5</v>
      </c>
      <c r="AD26" s="16"/>
      <c r="AE26" s="26">
        <v>3</v>
      </c>
      <c r="AF26" s="16" t="str">
        <f t="shared" si="7"/>
        <v>Log-normal</v>
      </c>
      <c r="AH26" s="53">
        <v>1</v>
      </c>
      <c r="AI26" s="53">
        <v>100</v>
      </c>
      <c r="AJ26" s="53">
        <f>(AH26+AI26)/2</f>
        <v>50.5</v>
      </c>
      <c r="AK26" s="16"/>
      <c r="AL26" s="26">
        <v>3</v>
      </c>
      <c r="AM26" s="16" t="str">
        <f t="shared" si="8"/>
        <v>Log-normal</v>
      </c>
      <c r="AO26" s="53">
        <f t="shared" si="9"/>
        <v>1</v>
      </c>
      <c r="AP26" s="53">
        <f t="shared" si="46"/>
        <v>100</v>
      </c>
      <c r="AQ26" s="53">
        <f t="shared" si="47"/>
        <v>50.5</v>
      </c>
      <c r="AR26" s="53" t="str">
        <f t="shared" si="48"/>
        <v/>
      </c>
      <c r="AS26" s="53">
        <f t="shared" si="49"/>
        <v>3</v>
      </c>
      <c r="AT26" s="53" t="str">
        <f t="shared" si="50"/>
        <v>Log-normal</v>
      </c>
      <c r="AU26" s="53" t="str">
        <f t="shared" si="51"/>
        <v/>
      </c>
      <c r="AV26" s="53">
        <f t="shared" si="52"/>
        <v>1</v>
      </c>
      <c r="AW26" s="53">
        <f t="shared" si="53"/>
        <v>100</v>
      </c>
      <c r="AX26" s="53">
        <f t="shared" si="54"/>
        <v>50.5</v>
      </c>
      <c r="AY26" s="53" t="str">
        <f t="shared" si="10"/>
        <v/>
      </c>
      <c r="AZ26" s="53">
        <f t="shared" si="11"/>
        <v>3</v>
      </c>
      <c r="BA26" s="53" t="str">
        <f t="shared" si="12"/>
        <v>Log-normal</v>
      </c>
      <c r="BB26" s="53" t="str">
        <f t="shared" si="13"/>
        <v/>
      </c>
      <c r="BC26" s="53">
        <f t="shared" si="14"/>
        <v>1</v>
      </c>
      <c r="BD26" s="53">
        <f t="shared" si="15"/>
        <v>100</v>
      </c>
      <c r="BE26" s="53">
        <f t="shared" si="16"/>
        <v>50.5</v>
      </c>
      <c r="BF26" s="53" t="str">
        <f t="shared" si="17"/>
        <v/>
      </c>
      <c r="BG26" s="53">
        <f t="shared" si="18"/>
        <v>3</v>
      </c>
      <c r="BH26" s="53" t="str">
        <f t="shared" si="19"/>
        <v>Log-normal</v>
      </c>
      <c r="BI26" s="53" t="str">
        <f t="shared" si="20"/>
        <v/>
      </c>
      <c r="BJ26" s="53">
        <f t="shared" si="21"/>
        <v>1</v>
      </c>
      <c r="BK26" s="53">
        <f t="shared" si="22"/>
        <v>100</v>
      </c>
      <c r="BL26" s="53">
        <f t="shared" si="23"/>
        <v>50.5</v>
      </c>
      <c r="BM26" s="53" t="str">
        <f t="shared" si="24"/>
        <v/>
      </c>
      <c r="BN26" s="53">
        <f t="shared" si="25"/>
        <v>3</v>
      </c>
      <c r="BO26" s="53" t="str">
        <f t="shared" si="26"/>
        <v>Log-normal</v>
      </c>
      <c r="BP26" s="53" t="str">
        <f t="shared" si="27"/>
        <v/>
      </c>
      <c r="BQ26" s="53">
        <f t="shared" si="28"/>
        <v>1</v>
      </c>
      <c r="BR26" s="53">
        <f t="shared" si="29"/>
        <v>100</v>
      </c>
      <c r="BS26" s="53">
        <f t="shared" si="30"/>
        <v>50.5</v>
      </c>
      <c r="BT26" s="53" t="str">
        <f t="shared" si="31"/>
        <v/>
      </c>
      <c r="BU26" s="53">
        <f t="shared" si="32"/>
        <v>3</v>
      </c>
      <c r="BV26" s="53" t="str">
        <f t="shared" si="33"/>
        <v>Log-normal</v>
      </c>
      <c r="BW26" s="53" t="str">
        <f t="shared" si="34"/>
        <v/>
      </c>
      <c r="BX26" s="53">
        <f t="shared" si="35"/>
        <v>1</v>
      </c>
      <c r="BY26" s="53">
        <f t="shared" si="36"/>
        <v>100</v>
      </c>
      <c r="BZ26" s="53">
        <f t="shared" si="37"/>
        <v>50.5</v>
      </c>
      <c r="CA26" s="53" t="str">
        <f t="shared" si="38"/>
        <v/>
      </c>
      <c r="CB26" s="53">
        <f t="shared" si="39"/>
        <v>3</v>
      </c>
      <c r="CC26" s="53" t="str">
        <f t="shared" si="40"/>
        <v>Log-normal</v>
      </c>
      <c r="CD26" s="53" t="str">
        <f t="shared" si="41"/>
        <v/>
      </c>
    </row>
    <row r="27" spans="1:82">
      <c r="A27" s="47"/>
      <c r="B27" s="19"/>
      <c r="C27" s="19" t="s">
        <v>5</v>
      </c>
      <c r="D27" s="19" t="s">
        <v>216</v>
      </c>
      <c r="E27" s="19"/>
      <c r="F27" s="53">
        <f>MIN(T27,AA27,AH27,M27)</f>
        <v>-0.03</v>
      </c>
      <c r="G27" s="53">
        <f t="shared" si="56"/>
        <v>0.3</v>
      </c>
      <c r="H27" s="53">
        <f t="shared" si="69"/>
        <v>0.13500000000000001</v>
      </c>
      <c r="I27" s="16"/>
      <c r="J27" s="26">
        <v>1</v>
      </c>
      <c r="K27" s="16" t="str">
        <f t="shared" si="4"/>
        <v>Flat</v>
      </c>
      <c r="L27" s="58" t="s">
        <v>470</v>
      </c>
      <c r="M27" s="53">
        <v>-0.03</v>
      </c>
      <c r="N27" s="53">
        <v>0.3</v>
      </c>
      <c r="O27" s="53">
        <f>(M27+N27)/2</f>
        <v>0.13500000000000001</v>
      </c>
      <c r="P27" s="16"/>
      <c r="Q27" s="26">
        <v>1</v>
      </c>
      <c r="R27" s="16" t="str">
        <f t="shared" si="5"/>
        <v>Flat</v>
      </c>
      <c r="S27"/>
      <c r="T27" s="53">
        <v>-0.03</v>
      </c>
      <c r="U27" s="53">
        <v>0.3</v>
      </c>
      <c r="V27" s="53">
        <f>(T27+U27)/2</f>
        <v>0.13500000000000001</v>
      </c>
      <c r="W27" s="16"/>
      <c r="X27" s="26">
        <v>1</v>
      </c>
      <c r="Y27" s="16" t="str">
        <f t="shared" si="6"/>
        <v>Flat</v>
      </c>
      <c r="AA27" s="53">
        <v>-0.03</v>
      </c>
      <c r="AB27" s="53">
        <v>0.3</v>
      </c>
      <c r="AC27" s="53">
        <f>(AA27+AB27)/2</f>
        <v>0.13500000000000001</v>
      </c>
      <c r="AD27" s="16"/>
      <c r="AE27" s="26">
        <v>1</v>
      </c>
      <c r="AF27" s="16" t="str">
        <f t="shared" si="7"/>
        <v>Flat</v>
      </c>
      <c r="AH27" s="53">
        <v>-0.03</v>
      </c>
      <c r="AI27" s="53">
        <v>0.3</v>
      </c>
      <c r="AJ27" s="53">
        <f>(AH27+AI27)/2</f>
        <v>0.13500000000000001</v>
      </c>
      <c r="AK27" s="16"/>
      <c r="AL27" s="26">
        <v>1</v>
      </c>
      <c r="AM27" s="16" t="str">
        <f t="shared" si="8"/>
        <v>Flat</v>
      </c>
      <c r="AO27" s="53">
        <f t="shared" si="9"/>
        <v>-0.03</v>
      </c>
      <c r="AP27" s="53">
        <f t="shared" si="46"/>
        <v>0.3</v>
      </c>
      <c r="AQ27" s="53">
        <f t="shared" si="47"/>
        <v>0.13500000000000001</v>
      </c>
      <c r="AR27" s="53" t="str">
        <f t="shared" si="48"/>
        <v/>
      </c>
      <c r="AS27" s="53">
        <f t="shared" si="49"/>
        <v>1</v>
      </c>
      <c r="AT27" s="53" t="str">
        <f t="shared" si="50"/>
        <v>Flat</v>
      </c>
      <c r="AU27" s="53" t="str">
        <f t="shared" si="51"/>
        <v/>
      </c>
      <c r="AV27" s="53">
        <f t="shared" si="52"/>
        <v>-0.03</v>
      </c>
      <c r="AW27" s="53">
        <f t="shared" si="53"/>
        <v>0.3</v>
      </c>
      <c r="AX27" s="53">
        <f t="shared" si="54"/>
        <v>0.13500000000000001</v>
      </c>
      <c r="AY27" s="53" t="str">
        <f t="shared" si="10"/>
        <v/>
      </c>
      <c r="AZ27" s="53">
        <f t="shared" si="11"/>
        <v>1</v>
      </c>
      <c r="BA27" s="53" t="str">
        <f t="shared" si="12"/>
        <v>Flat</v>
      </c>
      <c r="BB27" s="53" t="str">
        <f t="shared" si="13"/>
        <v/>
      </c>
      <c r="BC27" s="53">
        <f t="shared" si="14"/>
        <v>-0.03</v>
      </c>
      <c r="BD27" s="53">
        <f t="shared" si="15"/>
        <v>0.3</v>
      </c>
      <c r="BE27" s="53">
        <f t="shared" si="16"/>
        <v>0.13500000000000001</v>
      </c>
      <c r="BF27" s="53" t="str">
        <f t="shared" si="17"/>
        <v/>
      </c>
      <c r="BG27" s="53">
        <f t="shared" si="18"/>
        <v>1</v>
      </c>
      <c r="BH27" s="53" t="str">
        <f t="shared" si="19"/>
        <v>Flat</v>
      </c>
      <c r="BI27" s="53" t="str">
        <f t="shared" si="20"/>
        <v/>
      </c>
      <c r="BJ27" s="53">
        <f t="shared" si="21"/>
        <v>-0.03</v>
      </c>
      <c r="BK27" s="53">
        <f t="shared" si="22"/>
        <v>0.3</v>
      </c>
      <c r="BL27" s="53">
        <f t="shared" si="23"/>
        <v>0.13500000000000001</v>
      </c>
      <c r="BM27" s="53" t="str">
        <f t="shared" si="24"/>
        <v/>
      </c>
      <c r="BN27" s="53">
        <f t="shared" si="25"/>
        <v>1</v>
      </c>
      <c r="BO27" s="53" t="str">
        <f t="shared" si="26"/>
        <v>Flat</v>
      </c>
      <c r="BP27" s="53" t="str">
        <f t="shared" si="27"/>
        <v/>
      </c>
      <c r="BQ27" s="53">
        <f t="shared" si="28"/>
        <v>-0.03</v>
      </c>
      <c r="BR27" s="53">
        <f t="shared" si="29"/>
        <v>0.3</v>
      </c>
      <c r="BS27" s="53">
        <f t="shared" si="30"/>
        <v>0.13500000000000001</v>
      </c>
      <c r="BT27" s="53" t="str">
        <f t="shared" si="31"/>
        <v/>
      </c>
      <c r="BU27" s="53">
        <f t="shared" si="32"/>
        <v>1</v>
      </c>
      <c r="BV27" s="53" t="str">
        <f t="shared" si="33"/>
        <v>Flat</v>
      </c>
      <c r="BW27" s="53" t="str">
        <f t="shared" si="34"/>
        <v/>
      </c>
      <c r="BX27" s="53">
        <f t="shared" si="35"/>
        <v>-0.03</v>
      </c>
      <c r="BY27" s="53">
        <f t="shared" si="36"/>
        <v>0.3</v>
      </c>
      <c r="BZ27" s="53">
        <f t="shared" si="37"/>
        <v>0.13500000000000001</v>
      </c>
      <c r="CA27" s="53" t="str">
        <f t="shared" si="38"/>
        <v/>
      </c>
      <c r="CB27" s="53">
        <f t="shared" si="39"/>
        <v>1</v>
      </c>
      <c r="CC27" s="53" t="str">
        <f t="shared" si="40"/>
        <v>Flat</v>
      </c>
      <c r="CD27" s="53" t="str">
        <f t="shared" si="41"/>
        <v/>
      </c>
    </row>
    <row r="28" spans="1:82">
      <c r="A28" s="47"/>
      <c r="B28" s="19"/>
      <c r="C28" s="19" t="s">
        <v>514</v>
      </c>
      <c r="D28" s="19" t="s">
        <v>515</v>
      </c>
      <c r="E28" s="19" t="s">
        <v>516</v>
      </c>
      <c r="F28" s="53">
        <f>bebcs!O90</f>
        <v>2.3183397288717886E-5</v>
      </c>
      <c r="G28" s="53">
        <f>bebcs!P90</f>
        <v>1.3910038373230727E-3</v>
      </c>
      <c r="H28" s="53">
        <f t="shared" si="69"/>
        <v>7.0709361730589531E-4</v>
      </c>
      <c r="I28" s="16"/>
      <c r="J28" s="26"/>
      <c r="K28" s="16"/>
      <c r="M28" s="53">
        <f>F28</f>
        <v>2.3183397288717886E-5</v>
      </c>
      <c r="N28" s="53">
        <f t="shared" ref="N28:O28" si="70">G28</f>
        <v>1.3910038373230727E-3</v>
      </c>
      <c r="O28" s="53">
        <f t="shared" si="70"/>
        <v>7.0709361730589531E-4</v>
      </c>
      <c r="P28" s="16"/>
      <c r="Q28" s="26"/>
      <c r="R28" s="16"/>
      <c r="S28"/>
      <c r="T28" s="53">
        <f>M28</f>
        <v>2.3183397288717886E-5</v>
      </c>
      <c r="U28" s="53">
        <f t="shared" ref="U28" si="71">N28</f>
        <v>1.3910038373230727E-3</v>
      </c>
      <c r="V28" s="53">
        <f t="shared" ref="V28" si="72">O28</f>
        <v>7.0709361730589531E-4</v>
      </c>
      <c r="W28" s="16"/>
      <c r="X28" s="26"/>
      <c r="Y28" s="16"/>
      <c r="AA28" s="53">
        <f>T28</f>
        <v>2.3183397288717886E-5</v>
      </c>
      <c r="AB28" s="53">
        <f t="shared" ref="AB28" si="73">U28</f>
        <v>1.3910038373230727E-3</v>
      </c>
      <c r="AC28" s="53">
        <f t="shared" ref="AC28" si="74">V28</f>
        <v>7.0709361730589531E-4</v>
      </c>
      <c r="AD28" s="16"/>
      <c r="AE28" s="26"/>
      <c r="AF28" s="16"/>
      <c r="AH28" s="53">
        <f>AA28</f>
        <v>2.3183397288717886E-5</v>
      </c>
      <c r="AI28" s="53">
        <f t="shared" ref="AI28" si="75">AB28</f>
        <v>1.3910038373230727E-3</v>
      </c>
      <c r="AJ28" s="53">
        <f t="shared" ref="AJ28" si="76">AC28</f>
        <v>7.0709361730589531E-4</v>
      </c>
      <c r="AK28" s="16"/>
      <c r="AL28" s="26"/>
      <c r="AM28" s="16"/>
      <c r="AO28" s="53">
        <f t="shared" si="9"/>
        <v>2.3183397288717886E-5</v>
      </c>
      <c r="AP28" s="53">
        <f t="shared" si="46"/>
        <v>1.3910038373230727E-3</v>
      </c>
      <c r="AQ28" s="53">
        <f t="shared" si="47"/>
        <v>7.0709361730589531E-4</v>
      </c>
      <c r="AR28" s="53" t="str">
        <f t="shared" si="48"/>
        <v/>
      </c>
      <c r="AS28" s="53" t="str">
        <f t="shared" si="49"/>
        <v/>
      </c>
      <c r="AT28" s="53" t="str">
        <f t="shared" si="50"/>
        <v/>
      </c>
      <c r="AU28" s="53" t="str">
        <f t="shared" si="51"/>
        <v/>
      </c>
      <c r="AV28" s="53">
        <f t="shared" si="52"/>
        <v>2.3183397288717886E-5</v>
      </c>
      <c r="AW28" s="53">
        <f t="shared" si="53"/>
        <v>1.3910038373230727E-3</v>
      </c>
      <c r="AX28" s="53">
        <f t="shared" si="54"/>
        <v>7.0709361730589531E-4</v>
      </c>
      <c r="AY28" s="53" t="str">
        <f t="shared" si="10"/>
        <v/>
      </c>
      <c r="AZ28" s="53" t="str">
        <f t="shared" si="11"/>
        <v/>
      </c>
      <c r="BA28" s="53" t="str">
        <f t="shared" si="12"/>
        <v/>
      </c>
      <c r="BB28" s="53" t="str">
        <f t="shared" si="13"/>
        <v/>
      </c>
      <c r="BC28" s="53">
        <f t="shared" si="14"/>
        <v>2.3183397288717886E-5</v>
      </c>
      <c r="BD28" s="53">
        <f t="shared" si="15"/>
        <v>1.3910038373230727E-3</v>
      </c>
      <c r="BE28" s="53">
        <f t="shared" si="16"/>
        <v>7.0709361730589531E-4</v>
      </c>
      <c r="BF28" s="53" t="str">
        <f t="shared" si="17"/>
        <v/>
      </c>
      <c r="BG28" s="53" t="str">
        <f t="shared" si="18"/>
        <v/>
      </c>
      <c r="BH28" s="53" t="str">
        <f t="shared" si="19"/>
        <v/>
      </c>
      <c r="BI28" s="53" t="str">
        <f t="shared" si="20"/>
        <v/>
      </c>
      <c r="BJ28" s="53">
        <f t="shared" si="21"/>
        <v>2.3183397288717886E-5</v>
      </c>
      <c r="BK28" s="53">
        <f t="shared" si="22"/>
        <v>1.3910038373230727E-3</v>
      </c>
      <c r="BL28" s="53">
        <f t="shared" si="23"/>
        <v>7.0709361730589531E-4</v>
      </c>
      <c r="BM28" s="53" t="str">
        <f t="shared" si="24"/>
        <v/>
      </c>
      <c r="BN28" s="53" t="str">
        <f t="shared" si="25"/>
        <v/>
      </c>
      <c r="BO28" s="53" t="str">
        <f t="shared" si="26"/>
        <v/>
      </c>
      <c r="BP28" s="53" t="str">
        <f t="shared" si="27"/>
        <v/>
      </c>
      <c r="BQ28" s="53">
        <f t="shared" si="28"/>
        <v>2.3183397288717886E-5</v>
      </c>
      <c r="BR28" s="53">
        <f t="shared" si="29"/>
        <v>1.3910038373230727E-3</v>
      </c>
      <c r="BS28" s="53">
        <f t="shared" si="30"/>
        <v>7.0709361730589531E-4</v>
      </c>
      <c r="BT28" s="53" t="str">
        <f t="shared" si="31"/>
        <v/>
      </c>
      <c r="BU28" s="53" t="str">
        <f t="shared" si="32"/>
        <v/>
      </c>
      <c r="BV28" s="53" t="str">
        <f t="shared" si="33"/>
        <v/>
      </c>
      <c r="BW28" s="53" t="str">
        <f t="shared" si="34"/>
        <v/>
      </c>
      <c r="BX28" s="53">
        <f t="shared" si="35"/>
        <v>2.3183397288717886E-5</v>
      </c>
      <c r="BY28" s="53">
        <f t="shared" si="36"/>
        <v>1.3910038373230727E-3</v>
      </c>
      <c r="BZ28" s="53">
        <f t="shared" si="37"/>
        <v>7.0709361730589531E-4</v>
      </c>
      <c r="CA28" s="53" t="str">
        <f t="shared" si="38"/>
        <v/>
      </c>
      <c r="CB28" s="53" t="str">
        <f t="shared" si="39"/>
        <v/>
      </c>
      <c r="CC28" s="53" t="str">
        <f t="shared" si="40"/>
        <v/>
      </c>
      <c r="CD28" s="53" t="str">
        <f t="shared" si="41"/>
        <v/>
      </c>
    </row>
    <row r="29" spans="1:82">
      <c r="A29" s="47"/>
      <c r="B29" s="19" t="s">
        <v>119</v>
      </c>
      <c r="C29" s="19" t="s">
        <v>150</v>
      </c>
      <c r="D29" s="19" t="s">
        <v>217</v>
      </c>
      <c r="E29" s="19" t="s">
        <v>151</v>
      </c>
      <c r="F29" s="59">
        <f>MIN(T29,AA29,AH29,M29)</f>
        <v>1E-4</v>
      </c>
      <c r="G29" s="60">
        <f>MAX(U29,AB29,AI29,N29)</f>
        <v>0.06</v>
      </c>
      <c r="H29" s="53">
        <f t="shared" si="69"/>
        <v>3.005E-2</v>
      </c>
      <c r="I29" s="16"/>
      <c r="J29" s="26">
        <v>1</v>
      </c>
      <c r="K29" s="16" t="str">
        <f t="shared" si="4"/>
        <v>Flat</v>
      </c>
      <c r="L29" t="s">
        <v>492</v>
      </c>
      <c r="M29" s="59">
        <v>1E-4</v>
      </c>
      <c r="N29" s="60">
        <v>0.06</v>
      </c>
      <c r="O29" s="59">
        <f>AVERAGE(M29:N29)</f>
        <v>3.005E-2</v>
      </c>
      <c r="P29" s="16"/>
      <c r="Q29" s="26">
        <v>3</v>
      </c>
      <c r="R29" s="16" t="str">
        <f t="shared" si="5"/>
        <v>Log-normal</v>
      </c>
      <c r="S29"/>
      <c r="T29" s="59">
        <v>1E-4</v>
      </c>
      <c r="U29" s="60">
        <v>0.06</v>
      </c>
      <c r="V29" s="59">
        <f>AVERAGE(T29:U29)</f>
        <v>3.005E-2</v>
      </c>
      <c r="W29" s="16"/>
      <c r="X29" s="26">
        <v>3</v>
      </c>
      <c r="Y29" s="16" t="str">
        <f t="shared" si="6"/>
        <v>Log-normal</v>
      </c>
      <c r="AA29" s="59">
        <v>1E-4</v>
      </c>
      <c r="AB29" s="60">
        <v>0.06</v>
      </c>
      <c r="AC29" s="59">
        <f>AVERAGE(AA29:AB29)</f>
        <v>3.005E-2</v>
      </c>
      <c r="AD29" s="16"/>
      <c r="AE29" s="26">
        <v>3</v>
      </c>
      <c r="AF29" s="16" t="str">
        <f t="shared" si="7"/>
        <v>Log-normal</v>
      </c>
      <c r="AH29" s="59">
        <v>1E-4</v>
      </c>
      <c r="AI29" s="60">
        <v>0.06</v>
      </c>
      <c r="AJ29" s="59">
        <f>AVERAGE(AH29:AI29)</f>
        <v>3.005E-2</v>
      </c>
      <c r="AK29" s="16"/>
      <c r="AL29" s="26">
        <v>3</v>
      </c>
      <c r="AM29" s="16" t="str">
        <f t="shared" si="8"/>
        <v>Log-normal</v>
      </c>
      <c r="AO29" s="53">
        <f t="shared" si="9"/>
        <v>1E-4</v>
      </c>
      <c r="AP29" s="53">
        <f t="shared" si="46"/>
        <v>0.06</v>
      </c>
      <c r="AQ29" s="53">
        <f t="shared" si="47"/>
        <v>3.005E-2</v>
      </c>
      <c r="AR29" s="53" t="str">
        <f t="shared" si="48"/>
        <v/>
      </c>
      <c r="AS29" s="53">
        <f t="shared" si="49"/>
        <v>3</v>
      </c>
      <c r="AT29" s="53" t="str">
        <f t="shared" si="50"/>
        <v>Log-normal</v>
      </c>
      <c r="AU29" s="53" t="str">
        <f t="shared" si="51"/>
        <v/>
      </c>
      <c r="AV29" s="53">
        <f t="shared" si="52"/>
        <v>1E-4</v>
      </c>
      <c r="AW29" s="53">
        <f t="shared" si="53"/>
        <v>0.06</v>
      </c>
      <c r="AX29" s="53">
        <f t="shared" si="54"/>
        <v>3.005E-2</v>
      </c>
      <c r="AY29" s="53" t="str">
        <f t="shared" si="10"/>
        <v/>
      </c>
      <c r="AZ29" s="53">
        <f t="shared" si="11"/>
        <v>3</v>
      </c>
      <c r="BA29" s="53" t="str">
        <f t="shared" si="12"/>
        <v>Log-normal</v>
      </c>
      <c r="BB29" s="53" t="str">
        <f t="shared" si="13"/>
        <v/>
      </c>
      <c r="BC29" s="53">
        <f t="shared" si="14"/>
        <v>1E-4</v>
      </c>
      <c r="BD29" s="53">
        <f t="shared" si="15"/>
        <v>0.06</v>
      </c>
      <c r="BE29" s="53">
        <f t="shared" si="16"/>
        <v>3.005E-2</v>
      </c>
      <c r="BF29" s="53" t="str">
        <f t="shared" si="17"/>
        <v/>
      </c>
      <c r="BG29" s="53">
        <f t="shared" si="18"/>
        <v>3</v>
      </c>
      <c r="BH29" s="53" t="str">
        <f t="shared" si="19"/>
        <v>Log-normal</v>
      </c>
      <c r="BI29" s="53" t="str">
        <f t="shared" si="20"/>
        <v/>
      </c>
      <c r="BJ29" s="53">
        <f t="shared" si="21"/>
        <v>1E-4</v>
      </c>
      <c r="BK29" s="53">
        <f t="shared" si="22"/>
        <v>0.06</v>
      </c>
      <c r="BL29" s="53">
        <f t="shared" si="23"/>
        <v>3.005E-2</v>
      </c>
      <c r="BM29" s="53" t="str">
        <f t="shared" si="24"/>
        <v/>
      </c>
      <c r="BN29" s="53">
        <f t="shared" si="25"/>
        <v>3</v>
      </c>
      <c r="BO29" s="53" t="str">
        <f t="shared" si="26"/>
        <v>Log-normal</v>
      </c>
      <c r="BP29" s="53" t="str">
        <f t="shared" si="27"/>
        <v/>
      </c>
      <c r="BQ29" s="53">
        <f t="shared" si="28"/>
        <v>1E-4</v>
      </c>
      <c r="BR29" s="53">
        <f t="shared" si="29"/>
        <v>0.06</v>
      </c>
      <c r="BS29" s="53">
        <f t="shared" si="30"/>
        <v>3.005E-2</v>
      </c>
      <c r="BT29" s="53" t="str">
        <f t="shared" si="31"/>
        <v/>
      </c>
      <c r="BU29" s="53">
        <f t="shared" si="32"/>
        <v>3</v>
      </c>
      <c r="BV29" s="53" t="str">
        <f t="shared" si="33"/>
        <v>Log-normal</v>
      </c>
      <c r="BW29" s="53" t="str">
        <f t="shared" si="34"/>
        <v/>
      </c>
      <c r="BX29" s="53">
        <f t="shared" si="35"/>
        <v>1E-4</v>
      </c>
      <c r="BY29" s="53">
        <f t="shared" si="36"/>
        <v>0.06</v>
      </c>
      <c r="BZ29" s="53">
        <f t="shared" si="37"/>
        <v>3.005E-2</v>
      </c>
      <c r="CA29" s="53" t="str">
        <f t="shared" si="38"/>
        <v/>
      </c>
      <c r="CB29" s="53">
        <f t="shared" si="39"/>
        <v>3</v>
      </c>
      <c r="CC29" s="53" t="str">
        <f t="shared" si="40"/>
        <v>Log-normal</v>
      </c>
      <c r="CD29" s="53" t="str">
        <f t="shared" si="41"/>
        <v/>
      </c>
    </row>
    <row r="30" spans="1:82">
      <c r="A30" s="47"/>
      <c r="B30" s="19"/>
      <c r="C30" s="19" t="s">
        <v>137</v>
      </c>
      <c r="D30" s="19" t="s">
        <v>218</v>
      </c>
      <c r="E30" s="19" t="s">
        <v>9</v>
      </c>
      <c r="F30" s="53">
        <f>MIN(T30,AA30,AH30,M30)</f>
        <v>5</v>
      </c>
      <c r="G30" s="53">
        <f>MAX(U30,AB30,AI30,N30)</f>
        <v>30</v>
      </c>
      <c r="H30" s="53">
        <f t="shared" si="69"/>
        <v>17.5</v>
      </c>
      <c r="I30" s="16"/>
      <c r="J30" s="26">
        <v>1</v>
      </c>
      <c r="K30" s="16" t="str">
        <f t="shared" si="4"/>
        <v>Flat</v>
      </c>
      <c r="L30" s="62"/>
      <c r="M30" s="63">
        <v>5</v>
      </c>
      <c r="N30" s="63">
        <v>30</v>
      </c>
      <c r="O30" s="63">
        <f>AVERAGE(M30:N30)</f>
        <v>17.5</v>
      </c>
      <c r="P30" s="16"/>
      <c r="Q30" s="26">
        <v>1</v>
      </c>
      <c r="R30" s="16" t="str">
        <f t="shared" si="5"/>
        <v>Flat</v>
      </c>
      <c r="S30"/>
      <c r="T30" s="63">
        <v>5</v>
      </c>
      <c r="U30" s="63">
        <v>30</v>
      </c>
      <c r="V30" s="63">
        <f>AVERAGE(T30:U30)</f>
        <v>17.5</v>
      </c>
      <c r="W30" s="16"/>
      <c r="X30" s="26">
        <v>1</v>
      </c>
      <c r="Y30" s="16" t="str">
        <f t="shared" si="6"/>
        <v>Flat</v>
      </c>
      <c r="AA30" s="63">
        <v>5</v>
      </c>
      <c r="AB30" s="63">
        <v>30</v>
      </c>
      <c r="AC30" s="63">
        <f>AVERAGE(AA30:AB30)</f>
        <v>17.5</v>
      </c>
      <c r="AD30" s="16"/>
      <c r="AE30" s="26">
        <v>1</v>
      </c>
      <c r="AF30" s="16" t="str">
        <f t="shared" si="7"/>
        <v>Flat</v>
      </c>
      <c r="AH30" s="63">
        <v>5</v>
      </c>
      <c r="AI30" s="63">
        <v>30</v>
      </c>
      <c r="AJ30" s="63">
        <f>AVERAGE(AH30:AI30)</f>
        <v>17.5</v>
      </c>
      <c r="AK30" s="16"/>
      <c r="AL30" s="26">
        <v>1</v>
      </c>
      <c r="AM30" s="16" t="str">
        <f t="shared" si="8"/>
        <v>Flat</v>
      </c>
      <c r="AO30" s="53">
        <f t="shared" si="9"/>
        <v>5</v>
      </c>
      <c r="AP30" s="53">
        <f t="shared" si="46"/>
        <v>30</v>
      </c>
      <c r="AQ30" s="53">
        <f t="shared" si="47"/>
        <v>17.5</v>
      </c>
      <c r="AR30" s="53" t="str">
        <f t="shared" si="48"/>
        <v/>
      </c>
      <c r="AS30" s="53">
        <f t="shared" si="49"/>
        <v>1</v>
      </c>
      <c r="AT30" s="53" t="str">
        <f t="shared" si="50"/>
        <v>Flat</v>
      </c>
      <c r="AU30" s="53" t="str">
        <f t="shared" si="51"/>
        <v/>
      </c>
      <c r="AV30" s="53">
        <f t="shared" si="52"/>
        <v>5</v>
      </c>
      <c r="AW30" s="53">
        <f t="shared" si="53"/>
        <v>30</v>
      </c>
      <c r="AX30" s="53">
        <f t="shared" si="54"/>
        <v>17.5</v>
      </c>
      <c r="AY30" s="53" t="str">
        <f t="shared" si="10"/>
        <v/>
      </c>
      <c r="AZ30" s="53">
        <f t="shared" si="11"/>
        <v>1</v>
      </c>
      <c r="BA30" s="53" t="str">
        <f t="shared" si="12"/>
        <v>Flat</v>
      </c>
      <c r="BB30" s="53" t="str">
        <f t="shared" si="13"/>
        <v/>
      </c>
      <c r="BC30" s="53">
        <f t="shared" si="14"/>
        <v>5</v>
      </c>
      <c r="BD30" s="53">
        <f t="shared" si="15"/>
        <v>30</v>
      </c>
      <c r="BE30" s="53">
        <f t="shared" si="16"/>
        <v>17.5</v>
      </c>
      <c r="BF30" s="53" t="str">
        <f t="shared" si="17"/>
        <v/>
      </c>
      <c r="BG30" s="53">
        <f t="shared" si="18"/>
        <v>1</v>
      </c>
      <c r="BH30" s="53" t="str">
        <f t="shared" si="19"/>
        <v>Flat</v>
      </c>
      <c r="BI30" s="53" t="str">
        <f t="shared" si="20"/>
        <v/>
      </c>
      <c r="BJ30" s="53">
        <f t="shared" si="21"/>
        <v>5</v>
      </c>
      <c r="BK30" s="53">
        <f t="shared" si="22"/>
        <v>30</v>
      </c>
      <c r="BL30" s="53">
        <f t="shared" si="23"/>
        <v>17.5</v>
      </c>
      <c r="BM30" s="53" t="str">
        <f t="shared" si="24"/>
        <v/>
      </c>
      <c r="BN30" s="53">
        <f t="shared" si="25"/>
        <v>1</v>
      </c>
      <c r="BO30" s="53" t="str">
        <f t="shared" si="26"/>
        <v>Flat</v>
      </c>
      <c r="BP30" s="53" t="str">
        <f t="shared" si="27"/>
        <v/>
      </c>
      <c r="BQ30" s="53">
        <f t="shared" si="28"/>
        <v>5</v>
      </c>
      <c r="BR30" s="53">
        <f t="shared" si="29"/>
        <v>30</v>
      </c>
      <c r="BS30" s="53">
        <f t="shared" si="30"/>
        <v>17.5</v>
      </c>
      <c r="BT30" s="53" t="str">
        <f t="shared" si="31"/>
        <v/>
      </c>
      <c r="BU30" s="53">
        <f t="shared" si="32"/>
        <v>1</v>
      </c>
      <c r="BV30" s="53" t="str">
        <f t="shared" si="33"/>
        <v>Flat</v>
      </c>
      <c r="BW30" s="53" t="str">
        <f t="shared" si="34"/>
        <v/>
      </c>
      <c r="BX30" s="53">
        <f t="shared" si="35"/>
        <v>5</v>
      </c>
      <c r="BY30" s="53">
        <f t="shared" si="36"/>
        <v>30</v>
      </c>
      <c r="BZ30" s="53">
        <f t="shared" si="37"/>
        <v>17.5</v>
      </c>
      <c r="CA30" s="53" t="str">
        <f t="shared" si="38"/>
        <v/>
      </c>
      <c r="CB30" s="53">
        <f t="shared" si="39"/>
        <v>1</v>
      </c>
      <c r="CC30" s="53" t="str">
        <f t="shared" si="40"/>
        <v>Flat</v>
      </c>
      <c r="CD30" s="53" t="str">
        <f t="shared" si="41"/>
        <v/>
      </c>
    </row>
    <row r="31" spans="1:82">
      <c r="A31" s="47"/>
      <c r="B31" s="19"/>
      <c r="C31" s="19" t="s">
        <v>580</v>
      </c>
      <c r="D31" s="19" t="s">
        <v>581</v>
      </c>
      <c r="E31" s="19" t="s">
        <v>69</v>
      </c>
      <c r="F31" s="53">
        <f>MIN(T31,AA31,AH31,M31)</f>
        <v>0</v>
      </c>
      <c r="G31" s="53">
        <f>MAX(U31,AB31,AI31,N31)</f>
        <v>16.494134223826176</v>
      </c>
      <c r="H31" s="53">
        <f t="shared" si="69"/>
        <v>8.2470671119130881</v>
      </c>
      <c r="I31" s="16"/>
      <c r="J31" s="26">
        <v>1</v>
      </c>
      <c r="K31" s="16" t="str">
        <f t="shared" si="4"/>
        <v>Flat</v>
      </c>
      <c r="L31"/>
      <c r="M31" s="53">
        <v>0</v>
      </c>
      <c r="N31" s="53">
        <f>bc_max_nutrient_value</f>
        <v>16.494134223826176</v>
      </c>
      <c r="O31" s="53">
        <f>AVERAGE(M31:N31)</f>
        <v>8.2470671119130881</v>
      </c>
      <c r="P31" s="16"/>
      <c r="Q31" s="26">
        <v>1</v>
      </c>
      <c r="R31" s="16" t="str">
        <f t="shared" si="5"/>
        <v>Flat</v>
      </c>
      <c r="S31"/>
      <c r="T31" s="53">
        <v>0</v>
      </c>
      <c r="U31" s="53">
        <f>bc_max_nutrient_value</f>
        <v>16.494134223826176</v>
      </c>
      <c r="V31" s="53">
        <f>AVERAGE(T31:U31)</f>
        <v>8.2470671119130881</v>
      </c>
      <c r="W31" s="16"/>
      <c r="X31" s="26">
        <v>1</v>
      </c>
      <c r="Y31" s="16" t="str">
        <f t="shared" si="6"/>
        <v>Flat</v>
      </c>
      <c r="AA31" s="53">
        <v>0</v>
      </c>
      <c r="AB31" s="53">
        <f>bc_max_nutrient_value</f>
        <v>16.494134223826176</v>
      </c>
      <c r="AC31" s="53">
        <f>AVERAGE(AA31:AB31)</f>
        <v>8.2470671119130881</v>
      </c>
      <c r="AD31" s="16"/>
      <c r="AE31" s="26">
        <v>1</v>
      </c>
      <c r="AF31" s="16" t="str">
        <f t="shared" si="7"/>
        <v>Flat</v>
      </c>
      <c r="AH31" s="53">
        <v>0</v>
      </c>
      <c r="AI31" s="53">
        <f>bc_max_nutrient_value</f>
        <v>16.494134223826176</v>
      </c>
      <c r="AJ31" s="53">
        <f>AVERAGE(AH31:AI31)</f>
        <v>8.2470671119130881</v>
      </c>
      <c r="AK31" s="16"/>
      <c r="AL31" s="26">
        <v>1</v>
      </c>
      <c r="AM31" s="16" t="str">
        <f t="shared" si="8"/>
        <v>Flat</v>
      </c>
      <c r="AO31" s="53">
        <f t="shared" si="9"/>
        <v>0</v>
      </c>
      <c r="AP31" s="53">
        <f t="shared" si="46"/>
        <v>16.494134223826176</v>
      </c>
      <c r="AQ31" s="53">
        <f t="shared" si="47"/>
        <v>8.2470671119130881</v>
      </c>
      <c r="AR31" s="53" t="str">
        <f t="shared" si="48"/>
        <v/>
      </c>
      <c r="AS31" s="53">
        <f t="shared" si="49"/>
        <v>1</v>
      </c>
      <c r="AT31" s="53" t="str">
        <f t="shared" si="50"/>
        <v>Flat</v>
      </c>
      <c r="AU31" s="53" t="str">
        <f t="shared" si="51"/>
        <v/>
      </c>
      <c r="AV31" s="53">
        <f t="shared" si="52"/>
        <v>0</v>
      </c>
      <c r="AW31" s="53">
        <f t="shared" si="53"/>
        <v>16.494134223826176</v>
      </c>
      <c r="AX31" s="53">
        <f t="shared" si="54"/>
        <v>8.2470671119130881</v>
      </c>
      <c r="AY31" s="53" t="str">
        <f t="shared" si="10"/>
        <v/>
      </c>
      <c r="AZ31" s="53">
        <f t="shared" si="11"/>
        <v>1</v>
      </c>
      <c r="BA31" s="53" t="str">
        <f t="shared" si="12"/>
        <v>Flat</v>
      </c>
      <c r="BB31" s="53" t="str">
        <f t="shared" si="13"/>
        <v/>
      </c>
      <c r="BC31" s="53">
        <f t="shared" si="14"/>
        <v>0</v>
      </c>
      <c r="BD31" s="53">
        <f t="shared" si="15"/>
        <v>16.494134223826176</v>
      </c>
      <c r="BE31" s="53">
        <f t="shared" si="16"/>
        <v>8.2470671119130881</v>
      </c>
      <c r="BF31" s="53" t="str">
        <f t="shared" si="17"/>
        <v/>
      </c>
      <c r="BG31" s="53">
        <f t="shared" si="18"/>
        <v>1</v>
      </c>
      <c r="BH31" s="53" t="str">
        <f t="shared" si="19"/>
        <v>Flat</v>
      </c>
      <c r="BI31" s="53" t="str">
        <f t="shared" si="20"/>
        <v/>
      </c>
      <c r="BJ31" s="53">
        <f t="shared" si="21"/>
        <v>0</v>
      </c>
      <c r="BK31" s="53">
        <f t="shared" si="22"/>
        <v>16.494134223826176</v>
      </c>
      <c r="BL31" s="53">
        <f t="shared" si="23"/>
        <v>8.2470671119130881</v>
      </c>
      <c r="BM31" s="53" t="str">
        <f t="shared" si="24"/>
        <v/>
      </c>
      <c r="BN31" s="53">
        <f t="shared" si="25"/>
        <v>1</v>
      </c>
      <c r="BO31" s="53" t="str">
        <f t="shared" si="26"/>
        <v>Flat</v>
      </c>
      <c r="BP31" s="53" t="str">
        <f t="shared" si="27"/>
        <v/>
      </c>
      <c r="BQ31" s="53">
        <f t="shared" si="28"/>
        <v>0</v>
      </c>
      <c r="BR31" s="53">
        <f t="shared" si="29"/>
        <v>16.494134223826176</v>
      </c>
      <c r="BS31" s="53">
        <f t="shared" si="30"/>
        <v>8.2470671119130881</v>
      </c>
      <c r="BT31" s="53" t="str">
        <f t="shared" si="31"/>
        <v/>
      </c>
      <c r="BU31" s="53">
        <f t="shared" si="32"/>
        <v>1</v>
      </c>
      <c r="BV31" s="53" t="str">
        <f t="shared" si="33"/>
        <v>Flat</v>
      </c>
      <c r="BW31" s="53" t="str">
        <f t="shared" si="34"/>
        <v/>
      </c>
      <c r="BX31" s="53">
        <f t="shared" si="35"/>
        <v>0</v>
      </c>
      <c r="BY31" s="53">
        <f t="shared" si="36"/>
        <v>16.494134223826176</v>
      </c>
      <c r="BZ31" s="53">
        <f t="shared" si="37"/>
        <v>8.2470671119130881</v>
      </c>
      <c r="CA31" s="53" t="str">
        <f t="shared" si="38"/>
        <v/>
      </c>
      <c r="CB31" s="53">
        <f t="shared" si="39"/>
        <v>1</v>
      </c>
      <c r="CC31" s="53" t="str">
        <f t="shared" si="40"/>
        <v>Flat</v>
      </c>
      <c r="CD31" s="53" t="str">
        <f t="shared" si="41"/>
        <v/>
      </c>
    </row>
    <row r="32" spans="1:82">
      <c r="A32" s="47"/>
      <c r="B32" s="19"/>
      <c r="C32" s="19" t="s">
        <v>1</v>
      </c>
      <c r="D32" s="19" t="s">
        <v>219</v>
      </c>
      <c r="E32" s="19" t="s">
        <v>535</v>
      </c>
      <c r="F32" s="53">
        <f>MIN(T32,AA32,AH32,M32)</f>
        <v>0</v>
      </c>
      <c r="G32" s="53">
        <f>MAX(U32,AB32,AI32,N32)</f>
        <v>62.79</v>
      </c>
      <c r="H32" s="53">
        <f t="shared" si="69"/>
        <v>31.395</v>
      </c>
      <c r="I32" s="16"/>
      <c r="J32" s="26">
        <v>1</v>
      </c>
      <c r="K32" s="16" t="str">
        <f t="shared" si="4"/>
        <v>Flat</v>
      </c>
      <c r="L32" s="61"/>
      <c r="M32" s="53">
        <v>0</v>
      </c>
      <c r="N32" s="53">
        <v>62.79</v>
      </c>
      <c r="O32" s="53">
        <f>(M32+N32)/2</f>
        <v>31.395</v>
      </c>
      <c r="P32" s="16"/>
      <c r="Q32" s="26">
        <v>1</v>
      </c>
      <c r="R32" s="16" t="str">
        <f t="shared" si="5"/>
        <v>Flat</v>
      </c>
      <c r="S32"/>
      <c r="T32" s="53">
        <f>M32</f>
        <v>0</v>
      </c>
      <c r="U32" s="53">
        <f>N32</f>
        <v>62.79</v>
      </c>
      <c r="V32" s="53">
        <f>O32</f>
        <v>31.395</v>
      </c>
      <c r="W32" s="16"/>
      <c r="X32" s="26">
        <v>1</v>
      </c>
      <c r="Y32" s="16" t="str">
        <f t="shared" si="6"/>
        <v>Flat</v>
      </c>
      <c r="AA32" s="53">
        <f>T32</f>
        <v>0</v>
      </c>
      <c r="AB32" s="53">
        <f>U32</f>
        <v>62.79</v>
      </c>
      <c r="AC32" s="53">
        <f>V32</f>
        <v>31.395</v>
      </c>
      <c r="AD32" s="16"/>
      <c r="AE32" s="26">
        <v>1</v>
      </c>
      <c r="AF32" s="16" t="str">
        <f t="shared" si="7"/>
        <v>Flat</v>
      </c>
      <c r="AH32" s="53">
        <f>AA32</f>
        <v>0</v>
      </c>
      <c r="AI32" s="53">
        <f>AB32</f>
        <v>62.79</v>
      </c>
      <c r="AJ32" s="53">
        <f>AC32</f>
        <v>31.395</v>
      </c>
      <c r="AK32" s="16"/>
      <c r="AL32" s="26">
        <v>1</v>
      </c>
      <c r="AM32" s="16" t="str">
        <f t="shared" si="8"/>
        <v>Flat</v>
      </c>
      <c r="AO32" s="53">
        <f>T32</f>
        <v>0</v>
      </c>
      <c r="AP32" s="53">
        <f>U32</f>
        <v>62.79</v>
      </c>
      <c r="AQ32" s="53">
        <f t="shared" si="47"/>
        <v>31.395</v>
      </c>
      <c r="AR32" s="53" t="str">
        <f t="shared" si="48"/>
        <v/>
      </c>
      <c r="AS32" s="53">
        <f t="shared" si="49"/>
        <v>1</v>
      </c>
      <c r="AT32" s="53" t="str">
        <f t="shared" si="50"/>
        <v>Flat</v>
      </c>
      <c r="AU32" s="53" t="str">
        <f t="shared" si="51"/>
        <v/>
      </c>
      <c r="AV32" s="53">
        <f t="shared" si="52"/>
        <v>0</v>
      </c>
      <c r="AW32" s="53">
        <f t="shared" si="53"/>
        <v>62.79</v>
      </c>
      <c r="AX32" s="53">
        <f t="shared" si="54"/>
        <v>31.395</v>
      </c>
      <c r="AY32" s="53" t="str">
        <f t="shared" si="10"/>
        <v/>
      </c>
      <c r="AZ32" s="53">
        <f t="shared" si="11"/>
        <v>1</v>
      </c>
      <c r="BA32" s="53" t="str">
        <f t="shared" si="12"/>
        <v>Flat</v>
      </c>
      <c r="BB32" s="53" t="str">
        <f t="shared" si="13"/>
        <v/>
      </c>
      <c r="BC32" s="53">
        <f t="shared" si="14"/>
        <v>0</v>
      </c>
      <c r="BD32" s="53">
        <f t="shared" si="15"/>
        <v>62.79</v>
      </c>
      <c r="BE32" s="53">
        <f t="shared" si="16"/>
        <v>31.395</v>
      </c>
      <c r="BF32" s="53" t="str">
        <f t="shared" si="17"/>
        <v/>
      </c>
      <c r="BG32" s="53">
        <f t="shared" si="18"/>
        <v>1</v>
      </c>
      <c r="BH32" s="53" t="str">
        <f t="shared" si="19"/>
        <v>Flat</v>
      </c>
      <c r="BI32" s="53" t="str">
        <f t="shared" si="20"/>
        <v/>
      </c>
      <c r="BJ32" s="53">
        <f t="shared" si="21"/>
        <v>0</v>
      </c>
      <c r="BK32" s="53">
        <f t="shared" si="22"/>
        <v>62.79</v>
      </c>
      <c r="BL32" s="53">
        <f t="shared" si="23"/>
        <v>31.395</v>
      </c>
      <c r="BM32" s="53" t="str">
        <f t="shared" si="24"/>
        <v/>
      </c>
      <c r="BN32" s="53">
        <f t="shared" si="25"/>
        <v>1</v>
      </c>
      <c r="BO32" s="53" t="str">
        <f t="shared" si="26"/>
        <v>Flat</v>
      </c>
      <c r="BP32" s="53" t="str">
        <f t="shared" si="27"/>
        <v/>
      </c>
      <c r="BQ32" s="53">
        <f t="shared" si="28"/>
        <v>0</v>
      </c>
      <c r="BR32" s="53">
        <f t="shared" si="29"/>
        <v>62.79</v>
      </c>
      <c r="BS32" s="53">
        <f t="shared" si="30"/>
        <v>31.395</v>
      </c>
      <c r="BT32" s="53" t="str">
        <f t="shared" si="31"/>
        <v/>
      </c>
      <c r="BU32" s="53">
        <f t="shared" si="32"/>
        <v>1</v>
      </c>
      <c r="BV32" s="53" t="str">
        <f t="shared" si="33"/>
        <v>Flat</v>
      </c>
      <c r="BW32" s="53" t="str">
        <f t="shared" si="34"/>
        <v/>
      </c>
      <c r="BX32" s="53">
        <f t="shared" si="35"/>
        <v>0</v>
      </c>
      <c r="BY32" s="53">
        <f t="shared" si="36"/>
        <v>62.79</v>
      </c>
      <c r="BZ32" s="53">
        <f t="shared" si="37"/>
        <v>31.395</v>
      </c>
      <c r="CA32" s="53" t="str">
        <f t="shared" si="38"/>
        <v/>
      </c>
      <c r="CB32" s="53">
        <f t="shared" si="39"/>
        <v>1</v>
      </c>
      <c r="CC32" s="53" t="str">
        <f t="shared" si="40"/>
        <v>Flat</v>
      </c>
      <c r="CD32" s="53" t="str">
        <f t="shared" si="41"/>
        <v/>
      </c>
    </row>
    <row r="33" spans="1:82">
      <c r="A33" s="47"/>
      <c r="B33" s="19"/>
      <c r="C33" s="19" t="s">
        <v>540</v>
      </c>
      <c r="D33" s="19" t="s">
        <v>539</v>
      </c>
      <c r="E33" s="19"/>
      <c r="F33" s="53"/>
      <c r="G33" s="53"/>
      <c r="H33" s="53">
        <v>4.8899999999999997</v>
      </c>
      <c r="I33" s="16">
        <v>1.8</v>
      </c>
      <c r="J33" s="26">
        <v>2</v>
      </c>
      <c r="K33" s="16" t="str">
        <f t="shared" si="4"/>
        <v>Normal</v>
      </c>
      <c r="L33"/>
      <c r="M33" s="53"/>
      <c r="N33" s="53"/>
      <c r="O33" s="53">
        <v>4.8899999999999997</v>
      </c>
      <c r="P33" s="16">
        <v>1.8</v>
      </c>
      <c r="Q33" s="26">
        <v>2</v>
      </c>
      <c r="R33" s="16" t="str">
        <f t="shared" si="5"/>
        <v>Normal</v>
      </c>
      <c r="S33"/>
      <c r="T33" s="53"/>
      <c r="U33" s="53"/>
      <c r="V33" s="53">
        <v>4.8899999999999997</v>
      </c>
      <c r="W33" s="16">
        <v>1.8</v>
      </c>
      <c r="X33" s="26">
        <v>2</v>
      </c>
      <c r="Y33" s="16" t="str">
        <f t="shared" si="6"/>
        <v>Normal</v>
      </c>
      <c r="AA33" s="53"/>
      <c r="AB33" s="53"/>
      <c r="AC33" s="53">
        <v>4.8899999999999997</v>
      </c>
      <c r="AD33" s="16">
        <v>1.8</v>
      </c>
      <c r="AE33" s="26">
        <v>2</v>
      </c>
      <c r="AF33" s="16" t="str">
        <f t="shared" si="7"/>
        <v>Normal</v>
      </c>
      <c r="AH33" s="53"/>
      <c r="AI33" s="53"/>
      <c r="AJ33" s="53">
        <v>4.8899999999999997</v>
      </c>
      <c r="AK33" s="16">
        <v>1.8</v>
      </c>
      <c r="AL33" s="26">
        <v>2</v>
      </c>
      <c r="AM33" s="16" t="str">
        <f t="shared" si="8"/>
        <v>Normal</v>
      </c>
      <c r="AO33" s="53" t="str">
        <f t="shared" si="9"/>
        <v/>
      </c>
      <c r="AP33" s="53" t="str">
        <f t="shared" si="46"/>
        <v/>
      </c>
      <c r="AQ33" s="53">
        <f t="shared" si="47"/>
        <v>4.8899999999999997</v>
      </c>
      <c r="AR33" s="53">
        <f t="shared" si="48"/>
        <v>1.8</v>
      </c>
      <c r="AS33" s="53">
        <f t="shared" si="49"/>
        <v>2</v>
      </c>
      <c r="AT33" s="53" t="str">
        <f t="shared" si="50"/>
        <v>Normal</v>
      </c>
      <c r="AU33" s="53" t="str">
        <f t="shared" si="51"/>
        <v/>
      </c>
      <c r="AV33" s="53" t="str">
        <f t="shared" si="52"/>
        <v/>
      </c>
      <c r="AW33" s="53" t="str">
        <f t="shared" si="53"/>
        <v/>
      </c>
      <c r="AX33" s="53">
        <f t="shared" si="54"/>
        <v>4.8899999999999997</v>
      </c>
      <c r="AY33" s="53">
        <f t="shared" si="10"/>
        <v>1.8</v>
      </c>
      <c r="AZ33" s="53">
        <f t="shared" si="11"/>
        <v>2</v>
      </c>
      <c r="BA33" s="53" t="str">
        <f t="shared" si="12"/>
        <v>Normal</v>
      </c>
      <c r="BB33" s="53" t="str">
        <f t="shared" si="13"/>
        <v/>
      </c>
      <c r="BC33" s="53" t="str">
        <f t="shared" si="14"/>
        <v/>
      </c>
      <c r="BD33" s="53" t="str">
        <f t="shared" si="15"/>
        <v/>
      </c>
      <c r="BE33" s="53">
        <f t="shared" si="16"/>
        <v>4.8899999999999997</v>
      </c>
      <c r="BF33" s="53">
        <f t="shared" si="17"/>
        <v>1.8</v>
      </c>
      <c r="BG33" s="53">
        <f t="shared" si="18"/>
        <v>2</v>
      </c>
      <c r="BH33" s="53" t="str">
        <f t="shared" si="19"/>
        <v>Normal</v>
      </c>
      <c r="BI33" s="53" t="str">
        <f t="shared" si="20"/>
        <v/>
      </c>
      <c r="BJ33" s="53" t="str">
        <f t="shared" si="21"/>
        <v/>
      </c>
      <c r="BK33" s="53" t="str">
        <f t="shared" si="22"/>
        <v/>
      </c>
      <c r="BL33" s="53">
        <f t="shared" si="23"/>
        <v>4.8899999999999997</v>
      </c>
      <c r="BM33" s="53">
        <f t="shared" si="24"/>
        <v>1.8</v>
      </c>
      <c r="BN33" s="53">
        <f t="shared" si="25"/>
        <v>2</v>
      </c>
      <c r="BO33" s="53" t="str">
        <f t="shared" si="26"/>
        <v>Normal</v>
      </c>
      <c r="BP33" s="53" t="str">
        <f t="shared" si="27"/>
        <v/>
      </c>
      <c r="BQ33" s="53" t="str">
        <f t="shared" si="28"/>
        <v/>
      </c>
      <c r="BR33" s="53" t="str">
        <f t="shared" si="29"/>
        <v/>
      </c>
      <c r="BS33" s="53">
        <f t="shared" si="30"/>
        <v>4.8899999999999997</v>
      </c>
      <c r="BT33" s="53">
        <f t="shared" si="31"/>
        <v>1.8</v>
      </c>
      <c r="BU33" s="53">
        <f t="shared" si="32"/>
        <v>2</v>
      </c>
      <c r="BV33" s="53" t="str">
        <f t="shared" si="33"/>
        <v>Normal</v>
      </c>
      <c r="BW33" s="53" t="str">
        <f t="shared" si="34"/>
        <v/>
      </c>
      <c r="BX33" s="53" t="str">
        <f t="shared" si="35"/>
        <v/>
      </c>
      <c r="BY33" s="53" t="str">
        <f t="shared" si="36"/>
        <v/>
      </c>
      <c r="BZ33" s="53">
        <f t="shared" si="37"/>
        <v>4.8899999999999997</v>
      </c>
      <c r="CA33" s="53">
        <f t="shared" si="38"/>
        <v>1.8</v>
      </c>
      <c r="CB33" s="53">
        <f t="shared" si="39"/>
        <v>2</v>
      </c>
      <c r="CC33" s="53" t="str">
        <f t="shared" si="40"/>
        <v>Normal</v>
      </c>
      <c r="CD33" s="53" t="str">
        <f t="shared" si="41"/>
        <v/>
      </c>
    </row>
    <row r="34" spans="1:82">
      <c r="A34" s="46" t="s">
        <v>15</v>
      </c>
      <c r="B34" s="23" t="s">
        <v>176</v>
      </c>
      <c r="C34" s="23" t="s">
        <v>304</v>
      </c>
      <c r="D34" s="23" t="s">
        <v>305</v>
      </c>
      <c r="E34" s="23" t="s">
        <v>306</v>
      </c>
      <c r="F34" s="158">
        <f>MIN(M34,AA34,AH34)</f>
        <v>87.008533333333332</v>
      </c>
      <c r="G34" s="158">
        <f>MAX(N34,AB34,AI34)</f>
        <v>865.27692307692303</v>
      </c>
      <c r="H34" s="53">
        <f t="shared" si="69"/>
        <v>476.14272820512815</v>
      </c>
      <c r="I34" s="16"/>
      <c r="J34" s="26">
        <v>1</v>
      </c>
      <c r="K34" s="16" t="str">
        <f t="shared" si="4"/>
        <v>Flat</v>
      </c>
      <c r="L34"/>
      <c r="M34" s="158">
        <f>beccs!F77</f>
        <v>108.76066666666667</v>
      </c>
      <c r="N34" s="158">
        <f>beccs!G77</f>
        <v>865.27692307692303</v>
      </c>
      <c r="O34" s="158">
        <f>AVERAGE(M34:N34)</f>
        <v>487.01879487179485</v>
      </c>
      <c r="P34" s="16"/>
      <c r="Q34" s="26">
        <v>1</v>
      </c>
      <c r="R34" s="16" t="str">
        <f t="shared" si="5"/>
        <v>Flat</v>
      </c>
      <c r="S34"/>
      <c r="T34" s="158">
        <f>M34</f>
        <v>108.76066666666667</v>
      </c>
      <c r="U34" s="158">
        <f t="shared" ref="U34:V35" si="77">N34</f>
        <v>865.27692307692303</v>
      </c>
      <c r="V34" s="158">
        <f t="shared" si="77"/>
        <v>487.01879487179485</v>
      </c>
      <c r="W34" s="16"/>
      <c r="X34" s="26">
        <v>1</v>
      </c>
      <c r="Y34" s="16" t="str">
        <f t="shared" si="6"/>
        <v>Flat</v>
      </c>
      <c r="AA34" s="158">
        <f t="shared" ref="AA34:AB36" si="78">M34 + (AH34-M34)*30/80</f>
        <v>100.60361666666667</v>
      </c>
      <c r="AB34" s="158">
        <f t="shared" si="78"/>
        <v>800.38115384615378</v>
      </c>
      <c r="AC34" s="158">
        <f>O34</f>
        <v>487.01879487179485</v>
      </c>
      <c r="AD34" s="16"/>
      <c r="AE34" s="26">
        <v>1</v>
      </c>
      <c r="AF34" s="16" t="str">
        <f t="shared" si="7"/>
        <v>Flat</v>
      </c>
      <c r="AH34" s="158">
        <f>M34*0.8</f>
        <v>87.008533333333332</v>
      </c>
      <c r="AI34" s="158">
        <f>N34*0.8</f>
        <v>692.22153846153844</v>
      </c>
      <c r="AJ34" s="158">
        <f t="shared" ref="AJ34" si="79">AC34</f>
        <v>487.01879487179485</v>
      </c>
      <c r="AK34" s="16"/>
      <c r="AL34" s="26">
        <v>1</v>
      </c>
      <c r="AM34" s="16" t="str">
        <f t="shared" si="8"/>
        <v>Flat</v>
      </c>
      <c r="AO34" s="53">
        <f>IF(M34&lt;&gt;"",M34,"")</f>
        <v>108.76066666666667</v>
      </c>
      <c r="AP34" s="53">
        <f>IF(N34&lt;&gt;"",N34,"")</f>
        <v>865.27692307692303</v>
      </c>
      <c r="AQ34" s="53">
        <f>IF(O34&lt;&gt;"",O34,"")</f>
        <v>487.01879487179485</v>
      </c>
      <c r="AR34" s="53" t="str">
        <f t="shared" si="48"/>
        <v/>
      </c>
      <c r="AS34" s="53">
        <f t="shared" si="49"/>
        <v>1</v>
      </c>
      <c r="AT34" s="53" t="str">
        <f t="shared" si="50"/>
        <v>Flat</v>
      </c>
      <c r="AU34" s="53" t="str">
        <f t="shared" si="51"/>
        <v/>
      </c>
      <c r="AV34" s="53">
        <f t="shared" si="52"/>
        <v>100.60361666666667</v>
      </c>
      <c r="AW34" s="53">
        <f t="shared" si="53"/>
        <v>800.38115384615378</v>
      </c>
      <c r="AX34" s="53">
        <f t="shared" si="54"/>
        <v>487.01879487179485</v>
      </c>
      <c r="AY34" s="53" t="str">
        <f t="shared" si="10"/>
        <v/>
      </c>
      <c r="AZ34" s="53">
        <f t="shared" si="11"/>
        <v>1</v>
      </c>
      <c r="BA34" s="53" t="str">
        <f t="shared" si="12"/>
        <v>Flat</v>
      </c>
      <c r="BB34" s="53" t="str">
        <f t="shared" si="13"/>
        <v/>
      </c>
      <c r="BC34" s="53">
        <f t="shared" si="14"/>
        <v>87.008533333333332</v>
      </c>
      <c r="BD34" s="53">
        <f t="shared" si="15"/>
        <v>692.22153846153844</v>
      </c>
      <c r="BE34" s="53">
        <f t="shared" si="16"/>
        <v>487.01879487179485</v>
      </c>
      <c r="BF34" s="53" t="str">
        <f t="shared" si="17"/>
        <v/>
      </c>
      <c r="BG34" s="53">
        <f t="shared" si="18"/>
        <v>1</v>
      </c>
      <c r="BH34" s="53" t="str">
        <f t="shared" si="19"/>
        <v>Flat</v>
      </c>
      <c r="BI34" s="53" t="str">
        <f t="shared" si="20"/>
        <v/>
      </c>
      <c r="BJ34" s="53">
        <f t="shared" si="21"/>
        <v>108.76066666666667</v>
      </c>
      <c r="BK34" s="53">
        <f t="shared" si="22"/>
        <v>865.27692307692303</v>
      </c>
      <c r="BL34" s="53">
        <f t="shared" si="23"/>
        <v>487.01879487179485</v>
      </c>
      <c r="BM34" s="53" t="str">
        <f t="shared" si="24"/>
        <v/>
      </c>
      <c r="BN34" s="53">
        <f t="shared" si="25"/>
        <v>1</v>
      </c>
      <c r="BO34" s="53" t="str">
        <f t="shared" si="26"/>
        <v>Flat</v>
      </c>
      <c r="BP34" s="53" t="str">
        <f t="shared" si="27"/>
        <v/>
      </c>
      <c r="BQ34" s="53">
        <f t="shared" si="28"/>
        <v>100.60361666666667</v>
      </c>
      <c r="BR34" s="53">
        <f t="shared" si="29"/>
        <v>800.38115384615378</v>
      </c>
      <c r="BS34" s="53">
        <f t="shared" si="30"/>
        <v>487.01879487179485</v>
      </c>
      <c r="BT34" s="53" t="str">
        <f t="shared" si="31"/>
        <v/>
      </c>
      <c r="BU34" s="53">
        <f t="shared" si="32"/>
        <v>1</v>
      </c>
      <c r="BV34" s="53" t="str">
        <f t="shared" si="33"/>
        <v>Flat</v>
      </c>
      <c r="BW34" s="53" t="str">
        <f t="shared" si="34"/>
        <v/>
      </c>
      <c r="BX34" s="53">
        <f t="shared" si="35"/>
        <v>87.008533333333332</v>
      </c>
      <c r="BY34" s="53">
        <f t="shared" si="36"/>
        <v>692.22153846153844</v>
      </c>
      <c r="BZ34" s="53">
        <f t="shared" si="37"/>
        <v>487.01879487179485</v>
      </c>
      <c r="CA34" s="53" t="str">
        <f t="shared" si="38"/>
        <v/>
      </c>
      <c r="CB34" s="53">
        <f t="shared" si="39"/>
        <v>1</v>
      </c>
      <c r="CC34" s="53" t="str">
        <f t="shared" si="40"/>
        <v>Flat</v>
      </c>
      <c r="CD34" s="53" t="str">
        <f t="shared" si="41"/>
        <v/>
      </c>
    </row>
    <row r="35" spans="1:82">
      <c r="A35" s="46"/>
      <c r="B35" s="23"/>
      <c r="C35" s="23" t="s">
        <v>188</v>
      </c>
      <c r="D35" s="23" t="s">
        <v>220</v>
      </c>
      <c r="E35" s="23"/>
      <c r="F35" s="60">
        <f>MIN(T35,AA35,AH35,M35)</f>
        <v>3.2000000000000001E-2</v>
      </c>
      <c r="G35" s="60">
        <f>MAX(U35,AB35,AI35,N35)</f>
        <v>0.11</v>
      </c>
      <c r="H35" s="53">
        <f t="shared" si="69"/>
        <v>7.1000000000000008E-2</v>
      </c>
      <c r="I35" s="16"/>
      <c r="J35" s="26">
        <v>1</v>
      </c>
      <c r="K35" s="16" t="str">
        <f t="shared" si="4"/>
        <v>Flat</v>
      </c>
      <c r="M35" s="60">
        <v>0.04</v>
      </c>
      <c r="N35" s="60">
        <v>0.11</v>
      </c>
      <c r="O35" s="159">
        <f>AVERAGE(M35:N35)</f>
        <v>7.4999999999999997E-2</v>
      </c>
      <c r="P35" s="16"/>
      <c r="Q35" s="26">
        <v>1</v>
      </c>
      <c r="R35" s="16" t="str">
        <f t="shared" si="5"/>
        <v>Flat</v>
      </c>
      <c r="S35"/>
      <c r="T35" s="60">
        <f>M35</f>
        <v>0.04</v>
      </c>
      <c r="U35" s="60">
        <f t="shared" si="77"/>
        <v>0.11</v>
      </c>
      <c r="V35" s="60">
        <f t="shared" si="77"/>
        <v>7.4999999999999997E-2</v>
      </c>
      <c r="W35" s="16"/>
      <c r="X35" s="26">
        <v>1</v>
      </c>
      <c r="Y35" s="16" t="str">
        <f t="shared" si="6"/>
        <v>Flat</v>
      </c>
      <c r="AA35" s="159">
        <f t="shared" si="78"/>
        <v>3.6999999999999998E-2</v>
      </c>
      <c r="AB35" s="159">
        <f t="shared" si="78"/>
        <v>0.10175000000000001</v>
      </c>
      <c r="AC35" s="159">
        <f>AVERAGE(AA35:AB35)</f>
        <v>6.9375000000000006E-2</v>
      </c>
      <c r="AD35" s="16"/>
      <c r="AE35" s="26">
        <v>1</v>
      </c>
      <c r="AF35" s="16" t="str">
        <f t="shared" si="7"/>
        <v>Flat</v>
      </c>
      <c r="AH35" s="159">
        <f>M35*0.8</f>
        <v>3.2000000000000001E-2</v>
      </c>
      <c r="AI35" s="159">
        <f>N35*0.8</f>
        <v>8.8000000000000009E-2</v>
      </c>
      <c r="AJ35" s="159">
        <f>AVERAGE(AH35:AI35)</f>
        <v>6.0000000000000005E-2</v>
      </c>
      <c r="AK35" s="16"/>
      <c r="AL35" s="26">
        <v>1</v>
      </c>
      <c r="AM35" s="16" t="str">
        <f t="shared" si="8"/>
        <v>Flat</v>
      </c>
      <c r="AO35" s="53">
        <f t="shared" si="9"/>
        <v>0.04</v>
      </c>
      <c r="AP35" s="53">
        <f t="shared" si="46"/>
        <v>0.11</v>
      </c>
      <c r="AQ35" s="53">
        <f t="shared" si="47"/>
        <v>7.4999999999999997E-2</v>
      </c>
      <c r="AR35" s="53" t="str">
        <f t="shared" si="48"/>
        <v/>
      </c>
      <c r="AS35" s="53">
        <f t="shared" si="49"/>
        <v>1</v>
      </c>
      <c r="AT35" s="53" t="str">
        <f t="shared" si="50"/>
        <v>Flat</v>
      </c>
      <c r="AU35" s="53" t="str">
        <f t="shared" si="51"/>
        <v/>
      </c>
      <c r="AV35" s="53">
        <f t="shared" si="52"/>
        <v>3.6999999999999998E-2</v>
      </c>
      <c r="AW35" s="53">
        <f t="shared" si="53"/>
        <v>0.10175000000000001</v>
      </c>
      <c r="AX35" s="53">
        <f t="shared" si="54"/>
        <v>6.9375000000000006E-2</v>
      </c>
      <c r="AY35" s="53" t="str">
        <f t="shared" si="10"/>
        <v/>
      </c>
      <c r="AZ35" s="53">
        <f t="shared" si="11"/>
        <v>1</v>
      </c>
      <c r="BA35" s="53" t="str">
        <f t="shared" si="12"/>
        <v>Flat</v>
      </c>
      <c r="BB35" s="53" t="str">
        <f t="shared" si="13"/>
        <v/>
      </c>
      <c r="BC35" s="53">
        <f t="shared" si="14"/>
        <v>3.2000000000000001E-2</v>
      </c>
      <c r="BD35" s="53">
        <f t="shared" si="15"/>
        <v>8.8000000000000009E-2</v>
      </c>
      <c r="BE35" s="53">
        <f t="shared" si="16"/>
        <v>6.0000000000000005E-2</v>
      </c>
      <c r="BF35" s="53" t="str">
        <f t="shared" si="17"/>
        <v/>
      </c>
      <c r="BG35" s="53">
        <f t="shared" si="18"/>
        <v>1</v>
      </c>
      <c r="BH35" s="53" t="str">
        <f t="shared" si="19"/>
        <v>Flat</v>
      </c>
      <c r="BI35" s="53" t="str">
        <f t="shared" si="20"/>
        <v/>
      </c>
      <c r="BJ35" s="53">
        <f t="shared" si="21"/>
        <v>0.04</v>
      </c>
      <c r="BK35" s="53">
        <f t="shared" si="22"/>
        <v>0.11</v>
      </c>
      <c r="BL35" s="53">
        <f t="shared" si="23"/>
        <v>7.4999999999999997E-2</v>
      </c>
      <c r="BM35" s="53" t="str">
        <f t="shared" si="24"/>
        <v/>
      </c>
      <c r="BN35" s="53">
        <f t="shared" si="25"/>
        <v>1</v>
      </c>
      <c r="BO35" s="53" t="str">
        <f t="shared" si="26"/>
        <v>Flat</v>
      </c>
      <c r="BP35" s="53" t="str">
        <f t="shared" si="27"/>
        <v/>
      </c>
      <c r="BQ35" s="53">
        <f t="shared" si="28"/>
        <v>3.6999999999999998E-2</v>
      </c>
      <c r="BR35" s="53">
        <f t="shared" si="29"/>
        <v>0.10175000000000001</v>
      </c>
      <c r="BS35" s="53">
        <f t="shared" si="30"/>
        <v>6.9375000000000006E-2</v>
      </c>
      <c r="BT35" s="53" t="str">
        <f t="shared" si="31"/>
        <v/>
      </c>
      <c r="BU35" s="53">
        <f t="shared" si="32"/>
        <v>1</v>
      </c>
      <c r="BV35" s="53" t="str">
        <f t="shared" si="33"/>
        <v>Flat</v>
      </c>
      <c r="BW35" s="53" t="str">
        <f t="shared" si="34"/>
        <v/>
      </c>
      <c r="BX35" s="53">
        <f t="shared" si="35"/>
        <v>3.2000000000000001E-2</v>
      </c>
      <c r="BY35" s="53">
        <f t="shared" si="36"/>
        <v>8.8000000000000009E-2</v>
      </c>
      <c r="BZ35" s="53">
        <f t="shared" si="37"/>
        <v>6.0000000000000005E-2</v>
      </c>
      <c r="CA35" s="53" t="str">
        <f t="shared" si="38"/>
        <v/>
      </c>
      <c r="CB35" s="53">
        <f t="shared" si="39"/>
        <v>1</v>
      </c>
      <c r="CC35" s="53" t="str">
        <f t="shared" si="40"/>
        <v>Flat</v>
      </c>
      <c r="CD35" s="53" t="str">
        <f t="shared" si="41"/>
        <v/>
      </c>
    </row>
    <row r="36" spans="1:82">
      <c r="A36" s="46"/>
      <c r="B36" s="23"/>
      <c r="C36" s="23" t="s">
        <v>190</v>
      </c>
      <c r="D36" s="23" t="s">
        <v>235</v>
      </c>
      <c r="E36" s="23"/>
      <c r="F36" s="60">
        <f>MIN(T36,AA36,AH36,M36)</f>
        <v>0.81</v>
      </c>
      <c r="G36" s="60">
        <f>MAX(U36,AB36,AI36,N36)</f>
        <v>0.92800000000000016</v>
      </c>
      <c r="H36" s="53">
        <f t="shared" si="69"/>
        <v>0.86900000000000011</v>
      </c>
      <c r="I36" s="16"/>
      <c r="J36" s="26">
        <v>1</v>
      </c>
      <c r="K36" s="16" t="str">
        <f t="shared" si="4"/>
        <v>Flat</v>
      </c>
      <c r="M36" s="60">
        <v>0.81</v>
      </c>
      <c r="N36" s="60">
        <v>0.91</v>
      </c>
      <c r="O36" s="60">
        <f>(M36+N36)/2</f>
        <v>0.8600000000000001</v>
      </c>
      <c r="P36" s="16"/>
      <c r="Q36" s="26">
        <v>1</v>
      </c>
      <c r="R36" s="16" t="str">
        <f t="shared" si="5"/>
        <v>Flat</v>
      </c>
      <c r="S36"/>
      <c r="T36" s="60">
        <f>M36</f>
        <v>0.81</v>
      </c>
      <c r="U36" s="60">
        <f t="shared" ref="U36" si="80">N36</f>
        <v>0.91</v>
      </c>
      <c r="V36" s="60">
        <f t="shared" ref="V36" si="81">O36</f>
        <v>0.8600000000000001</v>
      </c>
      <c r="W36" s="16"/>
      <c r="X36" s="26">
        <v>1</v>
      </c>
      <c r="Y36" s="16" t="str">
        <f t="shared" si="6"/>
        <v>Flat</v>
      </c>
      <c r="AA36" s="159">
        <f t="shared" si="78"/>
        <v>0.82425000000000004</v>
      </c>
      <c r="AB36" s="159">
        <f t="shared" si="78"/>
        <v>0.91675000000000006</v>
      </c>
      <c r="AC36" s="159">
        <f>AVERAGE(AA36:AB36)</f>
        <v>0.87050000000000005</v>
      </c>
      <c r="AD36" s="16"/>
      <c r="AE36" s="26">
        <v>1</v>
      </c>
      <c r="AF36" s="16" t="str">
        <f t="shared" si="7"/>
        <v>Flat</v>
      </c>
      <c r="AH36" s="159">
        <f>M36*0.8+0.2</f>
        <v>0.84800000000000009</v>
      </c>
      <c r="AI36" s="159">
        <f>N36*0.8+0.2</f>
        <v>0.92800000000000016</v>
      </c>
      <c r="AJ36" s="159">
        <f>AVERAGE(AH36:AI36)</f>
        <v>0.88800000000000012</v>
      </c>
      <c r="AK36" s="16"/>
      <c r="AL36" s="26">
        <v>1</v>
      </c>
      <c r="AM36" s="16" t="str">
        <f t="shared" si="8"/>
        <v>Flat</v>
      </c>
      <c r="AO36" s="53">
        <f t="shared" si="9"/>
        <v>0.81</v>
      </c>
      <c r="AP36" s="53">
        <f t="shared" si="46"/>
        <v>0.91</v>
      </c>
      <c r="AQ36" s="53">
        <f t="shared" si="47"/>
        <v>0.8600000000000001</v>
      </c>
      <c r="AR36" s="53" t="str">
        <f t="shared" si="48"/>
        <v/>
      </c>
      <c r="AS36" s="53">
        <f t="shared" si="49"/>
        <v>1</v>
      </c>
      <c r="AT36" s="53" t="str">
        <f t="shared" si="50"/>
        <v>Flat</v>
      </c>
      <c r="AU36" s="53" t="str">
        <f t="shared" si="51"/>
        <v/>
      </c>
      <c r="AV36" s="53">
        <f t="shared" si="52"/>
        <v>0.82425000000000004</v>
      </c>
      <c r="AW36" s="53">
        <f t="shared" si="53"/>
        <v>0.91675000000000006</v>
      </c>
      <c r="AX36" s="53">
        <f t="shared" si="54"/>
        <v>0.87050000000000005</v>
      </c>
      <c r="AY36" s="53" t="str">
        <f t="shared" si="10"/>
        <v/>
      </c>
      <c r="AZ36" s="53">
        <f t="shared" si="11"/>
        <v>1</v>
      </c>
      <c r="BA36" s="53" t="str">
        <f t="shared" si="12"/>
        <v>Flat</v>
      </c>
      <c r="BB36" s="53" t="str">
        <f t="shared" si="13"/>
        <v/>
      </c>
      <c r="BC36" s="53">
        <f t="shared" si="14"/>
        <v>0.84800000000000009</v>
      </c>
      <c r="BD36" s="53">
        <f t="shared" si="15"/>
        <v>0.92800000000000016</v>
      </c>
      <c r="BE36" s="53">
        <f t="shared" si="16"/>
        <v>0.88800000000000012</v>
      </c>
      <c r="BF36" s="53" t="str">
        <f t="shared" si="17"/>
        <v/>
      </c>
      <c r="BG36" s="53">
        <f t="shared" si="18"/>
        <v>1</v>
      </c>
      <c r="BH36" s="53" t="str">
        <f t="shared" si="19"/>
        <v>Flat</v>
      </c>
      <c r="BI36" s="53" t="str">
        <f t="shared" si="20"/>
        <v/>
      </c>
      <c r="BJ36" s="53">
        <f t="shared" si="21"/>
        <v>0.81</v>
      </c>
      <c r="BK36" s="53">
        <f t="shared" si="22"/>
        <v>0.91</v>
      </c>
      <c r="BL36" s="53">
        <f t="shared" si="23"/>
        <v>0.8600000000000001</v>
      </c>
      <c r="BM36" s="53" t="str">
        <f t="shared" si="24"/>
        <v/>
      </c>
      <c r="BN36" s="53">
        <f t="shared" si="25"/>
        <v>1</v>
      </c>
      <c r="BO36" s="53" t="str">
        <f t="shared" si="26"/>
        <v>Flat</v>
      </c>
      <c r="BP36" s="53" t="str">
        <f t="shared" si="27"/>
        <v/>
      </c>
      <c r="BQ36" s="53">
        <f t="shared" si="28"/>
        <v>0.82425000000000004</v>
      </c>
      <c r="BR36" s="53">
        <f t="shared" si="29"/>
        <v>0.91675000000000006</v>
      </c>
      <c r="BS36" s="53">
        <f t="shared" si="30"/>
        <v>0.87050000000000005</v>
      </c>
      <c r="BT36" s="53" t="str">
        <f t="shared" si="31"/>
        <v/>
      </c>
      <c r="BU36" s="53">
        <f t="shared" si="32"/>
        <v>1</v>
      </c>
      <c r="BV36" s="53" t="str">
        <f t="shared" si="33"/>
        <v>Flat</v>
      </c>
      <c r="BW36" s="53" t="str">
        <f t="shared" si="34"/>
        <v/>
      </c>
      <c r="BX36" s="53">
        <f t="shared" si="35"/>
        <v>0.84800000000000009</v>
      </c>
      <c r="BY36" s="53">
        <f t="shared" si="36"/>
        <v>0.92800000000000016</v>
      </c>
      <c r="BZ36" s="53">
        <f t="shared" si="37"/>
        <v>0.88800000000000012</v>
      </c>
      <c r="CA36" s="53" t="str">
        <f t="shared" si="38"/>
        <v/>
      </c>
      <c r="CB36" s="53">
        <f t="shared" si="39"/>
        <v>1</v>
      </c>
      <c r="CC36" s="53" t="str">
        <f t="shared" si="40"/>
        <v>Flat</v>
      </c>
      <c r="CD36" s="53" t="str">
        <f t="shared" si="41"/>
        <v/>
      </c>
    </row>
    <row r="40" spans="1:82" s="131" customFormat="1" ht="21">
      <c r="A40" s="130"/>
      <c r="C40" s="132" t="s">
        <v>478</v>
      </c>
    </row>
    <row r="42" spans="1:82">
      <c r="C42" s="19" t="s">
        <v>479</v>
      </c>
      <c r="D42" s="19" t="s">
        <v>206</v>
      </c>
      <c r="E42" s="19" t="s">
        <v>12</v>
      </c>
      <c r="H42" s="150">
        <f>AVERAGE(V42,AC42,AJ42,O42)</f>
        <v>2.4563279857397501E-2</v>
      </c>
      <c r="I42" s="150">
        <f>1.349*(0.03-0.02)</f>
        <v>1.3489999999999999E-2</v>
      </c>
      <c r="J42" s="26">
        <v>2</v>
      </c>
      <c r="K42" s="16" t="str">
        <f t="shared" ref="K42" si="82">CHOOSE(J42,"Flat","Normal","Log-normal")</f>
        <v>Normal</v>
      </c>
      <c r="M42"/>
      <c r="N42"/>
      <c r="O42" s="150">
        <f>reference!F22</f>
        <v>4.0151515151515146E-2</v>
      </c>
      <c r="P42" s="150">
        <f>reference!F26</f>
        <v>3.1748171110661904E-3</v>
      </c>
      <c r="Q42" s="26">
        <v>2</v>
      </c>
      <c r="R42" s="16" t="str">
        <f t="shared" ref="R42" si="83">CHOOSE(Q42,"Flat","Normal","Log-normal")</f>
        <v>Normal</v>
      </c>
      <c r="V42" s="150">
        <f>reference!G22</f>
        <v>3.5427807486631012E-2</v>
      </c>
      <c r="W42" s="150">
        <f>reference!G26</f>
        <v>2.8013092156466369E-3</v>
      </c>
      <c r="X42" s="26">
        <v>2</v>
      </c>
      <c r="Y42" s="16" t="str">
        <f t="shared" ref="Y42" si="84">CHOOSE(X42,"Flat","Normal","Log-normal")</f>
        <v>Normal</v>
      </c>
      <c r="AC42" s="150">
        <f>reference!H22</f>
        <v>1.8894830659536541E-2</v>
      </c>
      <c r="AD42" s="150">
        <f>reference!H26</f>
        <v>4.2019638234699506E-3</v>
      </c>
      <c r="AE42" s="26">
        <v>2</v>
      </c>
      <c r="AF42" s="16" t="str">
        <f t="shared" ref="AF42" si="85">CHOOSE(AE42,"Flat","Normal","Log-normal")</f>
        <v>Normal</v>
      </c>
      <c r="AJ42" s="150">
        <f>reference!I22</f>
        <v>3.7789661319073062E-3</v>
      </c>
      <c r="AK42" s="150">
        <f>reference!I26</f>
        <v>1.7508182597791436E-3</v>
      </c>
      <c r="AL42" s="26">
        <v>2</v>
      </c>
      <c r="AM42" s="16" t="str">
        <f t="shared" ref="AM42" si="86">CHOOSE(AL42,"Flat","Normal","Log-normal")</f>
        <v>Normal</v>
      </c>
    </row>
    <row r="43" spans="1:82">
      <c r="C43" s="19" t="s">
        <v>480</v>
      </c>
      <c r="D43" s="19" t="s">
        <v>206</v>
      </c>
      <c r="E43" s="19" t="s">
        <v>12</v>
      </c>
      <c r="F43" s="53">
        <f>ff_c_intensity_lo</f>
        <v>0</v>
      </c>
      <c r="G43" s="53">
        <f>ff_c_intensity_hi</f>
        <v>1.5546666666666665E-2</v>
      </c>
      <c r="H43" s="53">
        <f t="shared" ref="H43" si="87">AVERAGE(F43:G43)</f>
        <v>7.7733333333333326E-3</v>
      </c>
      <c r="I43" s="16"/>
      <c r="J43" s="26">
        <v>1</v>
      </c>
      <c r="K43" s="16" t="str">
        <f t="shared" ref="K43" si="88">CHOOSE(J43,"Flat","Normal","Log-normal")</f>
        <v>Flat</v>
      </c>
      <c r="M43" s="53">
        <f>ff_c_intensity_lo</f>
        <v>0</v>
      </c>
      <c r="N43" s="53">
        <f>ff_c_intensity_hi</f>
        <v>1.5546666666666665E-2</v>
      </c>
      <c r="O43" s="53">
        <f t="shared" ref="O43" si="89">AVERAGE(M43:N43)</f>
        <v>7.7733333333333326E-3</v>
      </c>
      <c r="P43" s="16"/>
      <c r="Q43" s="26">
        <v>1</v>
      </c>
      <c r="R43" s="16" t="str">
        <f t="shared" ref="R43" si="90">CHOOSE(Q43,"Flat","Normal","Log-normal")</f>
        <v>Flat</v>
      </c>
      <c r="T43" s="53">
        <f>ff_c_intensity_lo</f>
        <v>0</v>
      </c>
      <c r="U43" s="53">
        <f>ff_c_intensity_hi</f>
        <v>1.5546666666666665E-2</v>
      </c>
      <c r="V43" s="53">
        <f t="shared" ref="V43" si="91">AVERAGE(T43:U43)</f>
        <v>7.7733333333333326E-3</v>
      </c>
      <c r="W43" s="16"/>
      <c r="X43" s="26">
        <v>1</v>
      </c>
      <c r="Y43" s="16" t="str">
        <f t="shared" ref="Y43" si="92">CHOOSE(X43,"Flat","Normal","Log-normal")</f>
        <v>Flat</v>
      </c>
      <c r="AA43" s="53">
        <f>ff_c_intensity_lo</f>
        <v>0</v>
      </c>
      <c r="AB43" s="53">
        <f>ff_c_intensity_hi</f>
        <v>1.5546666666666665E-2</v>
      </c>
      <c r="AC43" s="53">
        <f t="shared" ref="AC43" si="93">AVERAGE(AA43:AB43)</f>
        <v>7.7733333333333326E-3</v>
      </c>
      <c r="AD43" s="16"/>
      <c r="AE43" s="26">
        <v>1</v>
      </c>
      <c r="AF43" s="16" t="str">
        <f t="shared" ref="AF43" si="94">CHOOSE(AE43,"Flat","Normal","Log-normal")</f>
        <v>Flat</v>
      </c>
      <c r="AH43" s="53">
        <f>ff_c_intensity_lo</f>
        <v>0</v>
      </c>
      <c r="AI43" s="53">
        <f>ff_c_intensity_hi</f>
        <v>1.5546666666666665E-2</v>
      </c>
      <c r="AJ43" s="53">
        <f t="shared" ref="AJ43" si="95">AVERAGE(AH43:AI43)</f>
        <v>7.7733333333333326E-3</v>
      </c>
      <c r="AK43" s="16"/>
      <c r="AL43" s="26">
        <v>1</v>
      </c>
      <c r="AM43" s="16" t="str">
        <f t="shared" ref="AM43" si="96">CHOOSE(AL43,"Flat","Normal","Log-normal")</f>
        <v>Flat</v>
      </c>
    </row>
  </sheetData>
  <dataConsolidate/>
  <mergeCells count="11">
    <mergeCell ref="F1:L1"/>
    <mergeCell ref="T1:Z1"/>
    <mergeCell ref="AA1:AG1"/>
    <mergeCell ref="AH1:AN1"/>
    <mergeCell ref="M1:S1"/>
    <mergeCell ref="BX1:CD1"/>
    <mergeCell ref="AO1:AU1"/>
    <mergeCell ref="AV1:BB1"/>
    <mergeCell ref="BC1:BI1"/>
    <mergeCell ref="BJ1:BP1"/>
    <mergeCell ref="BQ1:BW1"/>
  </mergeCells>
  <conditionalFormatting sqref="C34:E34">
    <cfRule type="expression" dxfId="28" priority="7">
      <formula>CellHasFormula</formula>
    </cfRule>
  </conditionalFormatting>
  <conditionalFormatting sqref="C13:D13">
    <cfRule type="expression" dxfId="27" priority="6">
      <formula>CellHasFormula</formula>
    </cfRule>
  </conditionalFormatting>
  <conditionalFormatting sqref="C22:D23">
    <cfRule type="expression" dxfId="26" priority="5">
      <formula>CellHasFormula</formula>
    </cfRule>
  </conditionalFormatting>
  <conditionalFormatting sqref="E22:E23">
    <cfRule type="expression" dxfId="25" priority="4">
      <formula>CellHasFormula</formula>
    </cfRule>
  </conditionalFormatting>
  <conditionalFormatting sqref="C28">
    <cfRule type="expression" dxfId="24" priority="3">
      <formula>CellHasFormula</formula>
    </cfRule>
  </conditionalFormatting>
  <conditionalFormatting sqref="D28">
    <cfRule type="expression" dxfId="23" priority="2">
      <formula>CellHasFormula</formula>
    </cfRule>
  </conditionalFormatting>
  <conditionalFormatting sqref="E32">
    <cfRule type="expression" dxfId="22" priority="1">
      <formula>CellHasFormula</formula>
    </cfRule>
  </conditionalFormatting>
  <dataValidations count="1">
    <dataValidation type="list" showInputMessage="1" showErrorMessage="1" errorTitle="Error" error="Valid distribution codes are 1,2, or 3" sqref="Q42:Q43 X42:X43 AL42:AL43 J42:J43 AE42:AE43 X5:X36 Q5:Q36 AE5:AE36 J5:J36 AL5:AL36">
      <formula1>dist_codes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J75"/>
  <sheetViews>
    <sheetView zoomScale="70" zoomScaleNormal="70" workbookViewId="0"/>
  </sheetViews>
  <sheetFormatPr defaultRowHeight="18.75"/>
  <cols>
    <col min="1" max="1" width="18.140625" style="27" bestFit="1" customWidth="1"/>
    <col min="2" max="2" width="14.42578125" style="26" bestFit="1" customWidth="1"/>
    <col min="3" max="3" width="28.42578125" style="26" bestFit="1" customWidth="1"/>
    <col min="4" max="4" width="20.7109375" style="26" bestFit="1" customWidth="1"/>
    <col min="5" max="5" width="29.7109375" style="26" bestFit="1" customWidth="1"/>
    <col min="6" max="9" width="11.140625" style="16" customWidth="1"/>
    <col min="10" max="15" width="9.140625" style="16"/>
    <col min="16" max="16" width="11" style="203" bestFit="1" customWidth="1"/>
    <col min="17" max="17" width="14.5703125" style="203" bestFit="1" customWidth="1"/>
    <col min="18" max="18" width="10" style="203" bestFit="1" customWidth="1"/>
    <col min="19" max="19" width="10.85546875" style="203" bestFit="1" customWidth="1"/>
    <col min="20" max="20" width="14.5703125" style="203" bestFit="1" customWidth="1"/>
    <col min="21" max="21" width="10" style="203" bestFit="1" customWidth="1"/>
    <col min="22" max="22" width="10.85546875" style="203" bestFit="1" customWidth="1"/>
    <col min="23" max="23" width="17.140625" style="203" bestFit="1" customWidth="1"/>
    <col min="24" max="24" width="12.42578125" style="203" bestFit="1" customWidth="1"/>
    <col min="25" max="25" width="11.5703125" style="203" bestFit="1" customWidth="1"/>
    <col min="26" max="26" width="14.5703125" style="203" bestFit="1" customWidth="1"/>
    <col min="27" max="27" width="10" style="203" bestFit="1" customWidth="1"/>
    <col min="28" max="28" width="10.85546875" style="203" bestFit="1" customWidth="1"/>
    <col min="29" max="31" width="9.140625" style="203"/>
    <col min="32" max="32" width="17.140625" style="203" bestFit="1" customWidth="1"/>
    <col min="33" max="33" width="11" style="203" bestFit="1" customWidth="1"/>
    <col min="34" max="35" width="10" style="203" bestFit="1" customWidth="1"/>
    <col min="36" max="36" width="9.28515625" style="203" bestFit="1" customWidth="1"/>
    <col min="37" max="16384" width="9.140625" style="16"/>
  </cols>
  <sheetData>
    <row r="1" spans="1:16" ht="19.5" thickBot="1">
      <c r="B1" s="181" t="s">
        <v>551</v>
      </c>
      <c r="F1" s="26"/>
    </row>
    <row r="2" spans="1:16">
      <c r="B2" s="181">
        <v>11</v>
      </c>
      <c r="E2" s="29"/>
      <c r="F2" s="30"/>
      <c r="G2" s="31" t="s">
        <v>199</v>
      </c>
      <c r="H2" s="31" t="s">
        <v>16</v>
      </c>
      <c r="I2" s="31" t="s">
        <v>0</v>
      </c>
      <c r="J2" s="32" t="s">
        <v>15</v>
      </c>
    </row>
    <row r="3" spans="1:16" ht="19.5" thickBot="1">
      <c r="E3" s="33" t="s">
        <v>198</v>
      </c>
      <c r="F3" s="34" t="s">
        <v>128</v>
      </c>
      <c r="G3" s="35">
        <v>0</v>
      </c>
      <c r="H3" s="35">
        <f>bes_oc_nv</f>
        <v>-336.84967565558759</v>
      </c>
      <c r="I3" s="35">
        <f>bebcs_oc_nv</f>
        <v>-164.02044690602133</v>
      </c>
      <c r="J3" s="36">
        <f>beccs_oc_nv</f>
        <v>164.02044690602133</v>
      </c>
    </row>
    <row r="6" spans="1:16" s="39" customFormat="1" ht="21">
      <c r="A6" s="20" t="s">
        <v>234</v>
      </c>
      <c r="B6" s="20" t="s">
        <v>178</v>
      </c>
      <c r="C6" s="20" t="s">
        <v>179</v>
      </c>
      <c r="D6" s="20" t="s">
        <v>201</v>
      </c>
      <c r="E6" s="20" t="s">
        <v>174</v>
      </c>
      <c r="F6" s="21" t="s">
        <v>187</v>
      </c>
      <c r="G6" s="21" t="s">
        <v>180</v>
      </c>
      <c r="H6" s="21" t="s">
        <v>181</v>
      </c>
      <c r="I6" s="21" t="s">
        <v>18</v>
      </c>
      <c r="J6" s="21" t="s">
        <v>221</v>
      </c>
      <c r="K6" s="21" t="s">
        <v>222</v>
      </c>
      <c r="L6" s="21"/>
    </row>
    <row r="7" spans="1:16" s="39" customFormat="1" ht="21">
      <c r="A7" s="37"/>
      <c r="B7" s="37"/>
      <c r="C7" s="37"/>
      <c r="D7" s="37"/>
      <c r="E7" s="37"/>
      <c r="F7" s="37"/>
      <c r="G7" s="38"/>
      <c r="H7" s="38"/>
      <c r="I7" s="38"/>
      <c r="J7" s="38"/>
      <c r="K7" s="38"/>
      <c r="L7" s="38"/>
    </row>
    <row r="8" spans="1:16" s="39" customFormat="1" ht="21">
      <c r="A8" s="20" t="s">
        <v>465</v>
      </c>
      <c r="B8" s="20"/>
      <c r="C8" s="20" t="s">
        <v>466</v>
      </c>
      <c r="D8" s="20"/>
      <c r="E8" s="20"/>
      <c r="F8" s="20"/>
      <c r="G8" s="160" t="s">
        <v>554</v>
      </c>
      <c r="H8" s="21"/>
      <c r="I8" s="21"/>
      <c r="J8" s="21"/>
      <c r="K8" s="21"/>
      <c r="L8" s="21"/>
    </row>
    <row r="9" spans="1:16">
      <c r="A9" s="22" t="s">
        <v>184</v>
      </c>
      <c r="B9" s="23" t="s">
        <v>176</v>
      </c>
      <c r="C9" s="23" t="s">
        <v>2</v>
      </c>
      <c r="D9" s="23" t="s">
        <v>202</v>
      </c>
      <c r="E9" s="23"/>
      <c r="F9" s="16">
        <v>0.03</v>
      </c>
      <c r="G9" s="53">
        <v>1.4999999999999999E-2</v>
      </c>
      <c r="H9" s="53">
        <v>0.06</v>
      </c>
      <c r="I9" s="53">
        <v>0.03</v>
      </c>
      <c r="J9" s="16" t="s">
        <v>615</v>
      </c>
      <c r="K9" s="26">
        <v>1</v>
      </c>
      <c r="L9" s="16" t="s">
        <v>488</v>
      </c>
    </row>
    <row r="10" spans="1:16">
      <c r="A10" s="22"/>
      <c r="B10" s="23"/>
      <c r="C10" s="23" t="s">
        <v>159</v>
      </c>
      <c r="D10" s="23" t="s">
        <v>536</v>
      </c>
      <c r="E10" s="23"/>
      <c r="F10" s="16">
        <v>5.5E-2</v>
      </c>
      <c r="G10" s="53">
        <v>2E-3</v>
      </c>
      <c r="H10" s="179">
        <v>0.108</v>
      </c>
      <c r="I10" s="53">
        <v>5.5E-2</v>
      </c>
      <c r="J10" s="16" t="s">
        <v>615</v>
      </c>
      <c r="K10" s="26">
        <v>1</v>
      </c>
      <c r="L10" s="16" t="s">
        <v>488</v>
      </c>
    </row>
    <row r="11" spans="1:16">
      <c r="A11" s="22"/>
      <c r="B11" s="23"/>
      <c r="C11" s="23" t="s">
        <v>584</v>
      </c>
      <c r="D11" s="23" t="s">
        <v>586</v>
      </c>
      <c r="E11" s="23"/>
      <c r="F11" s="16">
        <v>1.6736999999999997</v>
      </c>
      <c r="G11" s="53">
        <v>1.1864999999999999</v>
      </c>
      <c r="H11" s="53">
        <v>2.1608999999999998</v>
      </c>
      <c r="I11" s="53">
        <v>1.6736999999999997</v>
      </c>
      <c r="J11" s="16" t="s">
        <v>615</v>
      </c>
      <c r="K11" s="26">
        <v>1</v>
      </c>
      <c r="L11" s="16" t="s">
        <v>488</v>
      </c>
    </row>
    <row r="12" spans="1:16">
      <c r="A12" s="22"/>
      <c r="B12" s="23"/>
      <c r="C12" s="23" t="s">
        <v>162</v>
      </c>
      <c r="D12" s="23" t="s">
        <v>203</v>
      </c>
      <c r="E12" s="23" t="s">
        <v>10</v>
      </c>
      <c r="F12" s="16">
        <v>45</v>
      </c>
      <c r="G12" s="53">
        <v>10</v>
      </c>
      <c r="H12" s="53">
        <v>80</v>
      </c>
      <c r="I12" s="53">
        <v>45</v>
      </c>
      <c r="J12" s="16" t="s">
        <v>615</v>
      </c>
      <c r="K12" s="26">
        <v>1</v>
      </c>
      <c r="L12" s="16" t="s">
        <v>488</v>
      </c>
    </row>
    <row r="13" spans="1:16">
      <c r="A13" s="22"/>
      <c r="B13" s="23"/>
      <c r="C13" s="23" t="s">
        <v>7</v>
      </c>
      <c r="D13" s="23" t="s">
        <v>204</v>
      </c>
      <c r="E13" s="23" t="s">
        <v>10</v>
      </c>
      <c r="F13" s="16">
        <v>1676</v>
      </c>
      <c r="G13" s="53">
        <v>1335</v>
      </c>
      <c r="H13" s="53">
        <v>2017</v>
      </c>
      <c r="I13" s="53">
        <v>1676</v>
      </c>
      <c r="J13" s="16" t="s">
        <v>615</v>
      </c>
      <c r="K13" s="26">
        <v>3</v>
      </c>
      <c r="L13" s="16" t="s">
        <v>489</v>
      </c>
    </row>
    <row r="14" spans="1:16">
      <c r="A14" s="22"/>
      <c r="B14" s="23"/>
      <c r="C14" s="23" t="s">
        <v>424</v>
      </c>
      <c r="D14" s="23" t="s">
        <v>425</v>
      </c>
      <c r="E14" s="23" t="s">
        <v>11</v>
      </c>
      <c r="F14" s="16">
        <v>127.05280000000002</v>
      </c>
      <c r="G14" s="53">
        <v>52.326400000000007</v>
      </c>
      <c r="H14" s="53">
        <v>201.77920000000003</v>
      </c>
      <c r="I14" s="53">
        <v>127.05280000000002</v>
      </c>
      <c r="J14" s="16" t="s">
        <v>615</v>
      </c>
      <c r="K14" s="26">
        <v>1</v>
      </c>
      <c r="L14" s="16" t="s">
        <v>488</v>
      </c>
    </row>
    <row r="15" spans="1:16">
      <c r="A15" s="22"/>
      <c r="B15" s="23"/>
      <c r="C15" s="23" t="s">
        <v>121</v>
      </c>
      <c r="D15" s="23" t="s">
        <v>205</v>
      </c>
      <c r="E15" s="23" t="s">
        <v>251</v>
      </c>
      <c r="F15" s="16">
        <v>1</v>
      </c>
      <c r="G15" s="53">
        <v>1</v>
      </c>
      <c r="H15" s="53">
        <v>1</v>
      </c>
      <c r="I15" s="53">
        <v>1</v>
      </c>
      <c r="J15" s="16" t="s">
        <v>615</v>
      </c>
      <c r="K15" s="26">
        <v>1</v>
      </c>
      <c r="L15" s="16" t="s">
        <v>488</v>
      </c>
      <c r="P15" s="209"/>
    </row>
    <row r="16" spans="1:16" ht="21">
      <c r="A16" s="18" t="s">
        <v>185</v>
      </c>
      <c r="B16" s="24"/>
      <c r="C16" s="19" t="s">
        <v>6</v>
      </c>
      <c r="D16" s="19" t="s">
        <v>206</v>
      </c>
      <c r="E16" s="19" t="s">
        <v>550</v>
      </c>
      <c r="F16" s="16">
        <v>7.7733333333333326E-3</v>
      </c>
      <c r="G16" s="53">
        <v>0</v>
      </c>
      <c r="H16" s="53">
        <v>1.5546666666666665E-2</v>
      </c>
      <c r="I16" s="53">
        <v>7.7733333333333326E-3</v>
      </c>
      <c r="J16" s="16" t="s">
        <v>615</v>
      </c>
      <c r="K16" s="26">
        <v>1</v>
      </c>
      <c r="L16" s="16" t="s">
        <v>488</v>
      </c>
      <c r="P16" s="209"/>
    </row>
    <row r="17" spans="1:16" ht="21">
      <c r="A17" s="18"/>
      <c r="B17" s="24"/>
      <c r="C17" s="19" t="s">
        <v>420</v>
      </c>
      <c r="D17" s="19" t="s">
        <v>421</v>
      </c>
      <c r="E17" s="19"/>
      <c r="F17" s="16">
        <v>0.44</v>
      </c>
      <c r="G17" s="53">
        <v>0.38</v>
      </c>
      <c r="H17" s="53">
        <v>0.5</v>
      </c>
      <c r="I17" s="53">
        <v>0.44</v>
      </c>
      <c r="J17" s="16" t="s">
        <v>615</v>
      </c>
      <c r="K17" s="26">
        <v>1</v>
      </c>
      <c r="L17" s="16" t="s">
        <v>488</v>
      </c>
    </row>
    <row r="18" spans="1:16">
      <c r="A18" s="22" t="s">
        <v>16</v>
      </c>
      <c r="B18" s="23" t="s">
        <v>176</v>
      </c>
      <c r="C18" s="23" t="s">
        <v>400</v>
      </c>
      <c r="D18" s="23" t="s">
        <v>207</v>
      </c>
      <c r="E18" s="23" t="s">
        <v>24</v>
      </c>
      <c r="F18" s="16">
        <v>693.47869749799725</v>
      </c>
      <c r="G18" s="53">
        <v>315.97157427982046</v>
      </c>
      <c r="H18" s="53">
        <v>1070.985820716174</v>
      </c>
      <c r="I18" s="53">
        <v>693.47869749799725</v>
      </c>
      <c r="J18" s="16" t="s">
        <v>615</v>
      </c>
      <c r="K18" s="26">
        <v>1</v>
      </c>
      <c r="L18" s="16" t="s">
        <v>488</v>
      </c>
      <c r="N18"/>
      <c r="O18"/>
      <c r="P18" s="45"/>
    </row>
    <row r="19" spans="1:16">
      <c r="A19" s="22"/>
      <c r="B19" s="23"/>
      <c r="C19" s="23" t="s">
        <v>3</v>
      </c>
      <c r="D19" s="23" t="s">
        <v>208</v>
      </c>
      <c r="E19" s="23" t="s">
        <v>8</v>
      </c>
      <c r="F19" s="16">
        <v>37.5</v>
      </c>
      <c r="G19" s="53">
        <v>25</v>
      </c>
      <c r="H19" s="53">
        <v>50</v>
      </c>
      <c r="I19" s="53">
        <v>37.5</v>
      </c>
      <c r="J19" s="16" t="s">
        <v>615</v>
      </c>
      <c r="K19" s="26">
        <v>1</v>
      </c>
      <c r="L19" s="16" t="s">
        <v>488</v>
      </c>
    </row>
    <row r="20" spans="1:16">
      <c r="A20" s="22"/>
      <c r="B20" s="23" t="s">
        <v>67</v>
      </c>
      <c r="C20" s="23" t="s">
        <v>173</v>
      </c>
      <c r="D20" s="23" t="s">
        <v>209</v>
      </c>
      <c r="E20" s="23" t="s">
        <v>455</v>
      </c>
      <c r="F20" s="16">
        <v>0.39</v>
      </c>
      <c r="G20" s="53">
        <v>0.33</v>
      </c>
      <c r="H20" s="53">
        <v>0.45</v>
      </c>
      <c r="I20" s="53">
        <v>0.39</v>
      </c>
      <c r="J20" s="16" t="s">
        <v>615</v>
      </c>
      <c r="K20" s="26">
        <v>1</v>
      </c>
      <c r="L20" s="16" t="s">
        <v>488</v>
      </c>
    </row>
    <row r="21" spans="1:16">
      <c r="A21" s="18" t="s">
        <v>0</v>
      </c>
      <c r="B21" s="19" t="s">
        <v>183</v>
      </c>
      <c r="C21" s="19" t="s">
        <v>19</v>
      </c>
      <c r="D21" s="19" t="s">
        <v>210</v>
      </c>
      <c r="E21" s="19" t="s">
        <v>20</v>
      </c>
      <c r="F21" s="16">
        <v>550</v>
      </c>
      <c r="G21" s="53">
        <v>450</v>
      </c>
      <c r="H21" s="53">
        <v>650</v>
      </c>
      <c r="I21" s="53">
        <v>550</v>
      </c>
      <c r="J21" s="16" t="s">
        <v>615</v>
      </c>
      <c r="K21" s="26">
        <v>1</v>
      </c>
      <c r="L21" s="16" t="s">
        <v>488</v>
      </c>
    </row>
    <row r="22" spans="1:16">
      <c r="A22" s="18"/>
      <c r="B22" s="19"/>
      <c r="C22" s="19" t="s">
        <v>107</v>
      </c>
      <c r="D22" s="19" t="s">
        <v>211</v>
      </c>
      <c r="E22" s="19" t="str">
        <f>CHOOSE(py_e_source, "gas+volatiles",  "biomass",  "biochar")</f>
        <v>gas+volatiles</v>
      </c>
      <c r="F22" s="16">
        <v>1</v>
      </c>
      <c r="G22" s="53">
        <v>1</v>
      </c>
      <c r="H22" s="53">
        <v>1</v>
      </c>
      <c r="I22" s="53">
        <v>1</v>
      </c>
      <c r="J22" s="16" t="s">
        <v>615</v>
      </c>
      <c r="K22" s="26">
        <v>1</v>
      </c>
      <c r="L22" s="16" t="s">
        <v>488</v>
      </c>
    </row>
    <row r="23" spans="1:16">
      <c r="A23" s="18"/>
      <c r="B23" s="19" t="s">
        <v>67</v>
      </c>
      <c r="C23" s="19" t="s">
        <v>27</v>
      </c>
      <c r="D23" s="19" t="s">
        <v>212</v>
      </c>
      <c r="E23" s="19"/>
      <c r="F23" s="16">
        <v>0.45</v>
      </c>
      <c r="G23" s="53">
        <v>0.33</v>
      </c>
      <c r="H23" s="53">
        <v>0.45</v>
      </c>
      <c r="I23" s="53">
        <v>0.45</v>
      </c>
      <c r="J23" s="16" t="s">
        <v>615</v>
      </c>
      <c r="K23" s="26">
        <v>1</v>
      </c>
      <c r="L23" s="16" t="s">
        <v>488</v>
      </c>
    </row>
    <row r="24" spans="1:16">
      <c r="A24" s="18"/>
      <c r="B24" s="19" t="s">
        <v>176</v>
      </c>
      <c r="C24" s="19" t="s">
        <v>400</v>
      </c>
      <c r="D24" s="19" t="s">
        <v>415</v>
      </c>
      <c r="E24" s="19"/>
      <c r="F24" s="26">
        <v>364.84535078346948</v>
      </c>
      <c r="G24" s="53">
        <v>268.16996376645449</v>
      </c>
      <c r="H24" s="53">
        <v>461.52073780048443</v>
      </c>
      <c r="I24" s="53">
        <v>364.84535078346948</v>
      </c>
      <c r="J24" s="16" t="s">
        <v>615</v>
      </c>
      <c r="K24" s="26">
        <v>1</v>
      </c>
      <c r="L24" s="16" t="s">
        <v>488</v>
      </c>
    </row>
    <row r="25" spans="1:16">
      <c r="A25" s="18"/>
      <c r="B25" s="19"/>
      <c r="C25" s="19" t="s">
        <v>189</v>
      </c>
      <c r="D25" s="19" t="s">
        <v>213</v>
      </c>
      <c r="E25" s="19"/>
      <c r="F25" s="26">
        <v>1</v>
      </c>
      <c r="G25" s="53">
        <v>1</v>
      </c>
      <c r="H25" s="53">
        <v>1</v>
      </c>
      <c r="I25" s="53">
        <v>1</v>
      </c>
      <c r="J25" s="16" t="s">
        <v>615</v>
      </c>
      <c r="K25" s="26">
        <v>1</v>
      </c>
      <c r="L25" s="16" t="s">
        <v>488</v>
      </c>
    </row>
    <row r="26" spans="1:16">
      <c r="A26" s="18"/>
      <c r="B26" s="19"/>
      <c r="C26" s="19" t="s">
        <v>452</v>
      </c>
      <c r="D26" s="19" t="s">
        <v>453</v>
      </c>
      <c r="E26" s="19" t="s">
        <v>69</v>
      </c>
      <c r="F26" s="26">
        <v>25.858560000000004</v>
      </c>
      <c r="G26" s="53">
        <v>0.93184000000000022</v>
      </c>
      <c r="H26" s="53">
        <v>50.785280000000007</v>
      </c>
      <c r="I26" s="53">
        <v>25.858560000000004</v>
      </c>
      <c r="J26" s="16" t="s">
        <v>615</v>
      </c>
      <c r="K26" s="26">
        <v>1</v>
      </c>
      <c r="L26" s="16" t="s">
        <v>488</v>
      </c>
    </row>
    <row r="27" spans="1:16">
      <c r="A27" s="18"/>
      <c r="B27" s="19"/>
      <c r="C27" s="19" t="s">
        <v>555</v>
      </c>
      <c r="D27" s="19" t="s">
        <v>556</v>
      </c>
      <c r="E27" s="19" t="s">
        <v>557</v>
      </c>
      <c r="F27" s="26">
        <v>87.808000000000007</v>
      </c>
      <c r="G27" s="53">
        <v>0</v>
      </c>
      <c r="H27" s="53">
        <v>175.61600000000001</v>
      </c>
      <c r="I27" s="53">
        <v>87.808000000000007</v>
      </c>
      <c r="J27" s="16" t="s">
        <v>615</v>
      </c>
      <c r="K27" s="26">
        <v>1</v>
      </c>
      <c r="L27" s="16" t="s">
        <v>488</v>
      </c>
    </row>
    <row r="28" spans="1:16">
      <c r="A28" s="18"/>
      <c r="B28" s="19" t="s">
        <v>182</v>
      </c>
      <c r="C28" s="19" t="s">
        <v>132</v>
      </c>
      <c r="D28" s="19" t="s">
        <v>230</v>
      </c>
      <c r="E28" s="19" t="s">
        <v>140</v>
      </c>
      <c r="F28">
        <v>100</v>
      </c>
      <c r="G28" s="53">
        <v>25</v>
      </c>
      <c r="H28" s="53">
        <v>200</v>
      </c>
      <c r="I28" s="53">
        <v>100</v>
      </c>
      <c r="J28" s="16" t="s">
        <v>615</v>
      </c>
      <c r="K28" s="26">
        <v>1</v>
      </c>
      <c r="L28" s="16" t="s">
        <v>488</v>
      </c>
    </row>
    <row r="29" spans="1:16">
      <c r="A29" s="18"/>
      <c r="B29" s="19"/>
      <c r="C29" s="19" t="s">
        <v>4</v>
      </c>
      <c r="D29" s="19" t="s">
        <v>214</v>
      </c>
      <c r="E29" s="19" t="s">
        <v>502</v>
      </c>
      <c r="F29" s="16">
        <v>8.5470085470085479E-3</v>
      </c>
      <c r="G29" s="53">
        <v>1.7094017094017094E-3</v>
      </c>
      <c r="H29" s="53">
        <v>1.5384615384615385E-2</v>
      </c>
      <c r="I29" s="53">
        <v>8.5470085470085479E-3</v>
      </c>
      <c r="J29" s="16" t="s">
        <v>615</v>
      </c>
      <c r="K29" s="26">
        <v>1</v>
      </c>
      <c r="L29" s="16" t="s">
        <v>488</v>
      </c>
    </row>
    <row r="30" spans="1:16">
      <c r="A30" s="18"/>
      <c r="B30" s="19"/>
      <c r="C30" s="19" t="s">
        <v>139</v>
      </c>
      <c r="D30" s="19" t="s">
        <v>215</v>
      </c>
      <c r="E30" s="19" t="s">
        <v>8</v>
      </c>
      <c r="F30" s="16">
        <v>50.5</v>
      </c>
      <c r="G30" s="53">
        <v>1</v>
      </c>
      <c r="H30" s="53">
        <v>100</v>
      </c>
      <c r="I30" s="53">
        <v>50.5</v>
      </c>
      <c r="J30" s="16" t="s">
        <v>615</v>
      </c>
      <c r="K30" s="26">
        <v>3</v>
      </c>
      <c r="L30" s="16" t="s">
        <v>489</v>
      </c>
    </row>
    <row r="31" spans="1:16">
      <c r="A31" s="18"/>
      <c r="B31" s="19"/>
      <c r="C31" s="19" t="s">
        <v>5</v>
      </c>
      <c r="D31" s="19" t="s">
        <v>216</v>
      </c>
      <c r="E31" s="19" t="s">
        <v>318</v>
      </c>
      <c r="F31" s="16">
        <v>0.13500000000000001</v>
      </c>
      <c r="G31" s="53">
        <v>-0.03</v>
      </c>
      <c r="H31" s="53">
        <v>0.3</v>
      </c>
      <c r="I31" s="53">
        <v>0.13500000000000001</v>
      </c>
      <c r="J31" s="16" t="s">
        <v>615</v>
      </c>
      <c r="K31" s="26">
        <v>1</v>
      </c>
      <c r="L31" s="16" t="s">
        <v>488</v>
      </c>
    </row>
    <row r="32" spans="1:16">
      <c r="A32" s="18"/>
      <c r="B32" s="19"/>
      <c r="C32" s="19" t="s">
        <v>514</v>
      </c>
      <c r="D32" s="19" t="s">
        <v>515</v>
      </c>
      <c r="E32" s="19" t="s">
        <v>516</v>
      </c>
      <c r="F32" s="16">
        <v>7.0709361730589531E-4</v>
      </c>
      <c r="G32" s="53">
        <v>2.3183397288717886E-5</v>
      </c>
      <c r="H32" s="53">
        <v>1.3910038373230727E-3</v>
      </c>
      <c r="I32" s="53">
        <v>7.0709361730589531E-4</v>
      </c>
      <c r="J32" s="16" t="s">
        <v>615</v>
      </c>
      <c r="K32" s="26" t="s">
        <v>615</v>
      </c>
      <c r="L32" s="16" t="s">
        <v>615</v>
      </c>
    </row>
    <row r="33" spans="1:14">
      <c r="A33" s="18"/>
      <c r="B33" s="19" t="s">
        <v>119</v>
      </c>
      <c r="C33" s="19" t="s">
        <v>150</v>
      </c>
      <c r="D33" s="19" t="s">
        <v>217</v>
      </c>
      <c r="E33" s="19" t="s">
        <v>151</v>
      </c>
      <c r="F33" s="151">
        <v>3.005E-2</v>
      </c>
      <c r="G33" s="59">
        <v>1E-4</v>
      </c>
      <c r="H33" s="59">
        <v>0.06</v>
      </c>
      <c r="I33" s="59">
        <v>3.005E-2</v>
      </c>
      <c r="J33" s="16" t="s">
        <v>615</v>
      </c>
      <c r="K33" s="26">
        <v>3</v>
      </c>
      <c r="L33" s="16" t="s">
        <v>489</v>
      </c>
    </row>
    <row r="34" spans="1:14">
      <c r="A34" s="18"/>
      <c r="B34" s="19"/>
      <c r="C34" s="19" t="s">
        <v>137</v>
      </c>
      <c r="D34" s="19" t="s">
        <v>218</v>
      </c>
      <c r="E34" s="19" t="s">
        <v>9</v>
      </c>
      <c r="F34" s="16">
        <v>17.5</v>
      </c>
      <c r="G34" s="53">
        <v>5</v>
      </c>
      <c r="H34" s="53">
        <v>30</v>
      </c>
      <c r="I34" s="53">
        <v>17.5</v>
      </c>
      <c r="J34" s="16" t="s">
        <v>615</v>
      </c>
      <c r="K34" s="26">
        <v>1</v>
      </c>
      <c r="L34" s="16" t="s">
        <v>488</v>
      </c>
    </row>
    <row r="35" spans="1:14">
      <c r="A35" s="18"/>
      <c r="B35" s="19"/>
      <c r="C35" s="19" t="s">
        <v>580</v>
      </c>
      <c r="D35" s="19" t="s">
        <v>581</v>
      </c>
      <c r="E35" s="19" t="s">
        <v>69</v>
      </c>
      <c r="F35" s="16">
        <v>8.2470671119130881</v>
      </c>
      <c r="G35" s="53">
        <v>0</v>
      </c>
      <c r="H35" s="53">
        <v>16.494134223826176</v>
      </c>
      <c r="I35" s="53">
        <v>8.2470671119130881</v>
      </c>
      <c r="J35" s="16" t="s">
        <v>615</v>
      </c>
      <c r="K35" s="26">
        <v>1</v>
      </c>
      <c r="L35" s="16" t="s">
        <v>488</v>
      </c>
    </row>
    <row r="36" spans="1:14">
      <c r="A36" s="18"/>
      <c r="B36" s="19"/>
      <c r="C36" s="19" t="s">
        <v>1</v>
      </c>
      <c r="D36" s="19" t="s">
        <v>219</v>
      </c>
      <c r="E36" s="19" t="s">
        <v>535</v>
      </c>
      <c r="F36" s="16">
        <v>31.395</v>
      </c>
      <c r="G36" s="53">
        <v>0</v>
      </c>
      <c r="H36" s="53">
        <v>62.79</v>
      </c>
      <c r="I36" s="53">
        <v>31.395</v>
      </c>
      <c r="J36" s="16" t="s">
        <v>615</v>
      </c>
      <c r="K36" s="26">
        <v>1</v>
      </c>
      <c r="L36" s="16" t="s">
        <v>488</v>
      </c>
      <c r="N36" s="16">
        <f>H36*H11</f>
        <v>135.68291099999999</v>
      </c>
    </row>
    <row r="37" spans="1:14">
      <c r="A37" s="18"/>
      <c r="B37" s="19"/>
      <c r="C37" s="19" t="s">
        <v>540</v>
      </c>
      <c r="D37" s="19" t="s">
        <v>539</v>
      </c>
      <c r="E37" s="19"/>
      <c r="F37" s="16">
        <v>4.8899999999999997</v>
      </c>
      <c r="G37" s="53" t="s">
        <v>615</v>
      </c>
      <c r="H37" s="53" t="s">
        <v>615</v>
      </c>
      <c r="I37" s="53">
        <v>4.8899999999999997</v>
      </c>
      <c r="J37" s="16">
        <v>1.8</v>
      </c>
      <c r="K37" s="26">
        <v>2</v>
      </c>
      <c r="L37" s="16" t="s">
        <v>490</v>
      </c>
    </row>
    <row r="38" spans="1:14">
      <c r="A38" s="22" t="s">
        <v>15</v>
      </c>
      <c r="B38" s="23" t="s">
        <v>176</v>
      </c>
      <c r="C38" s="23" t="s">
        <v>304</v>
      </c>
      <c r="D38" s="23" t="s">
        <v>305</v>
      </c>
      <c r="E38" s="23" t="s">
        <v>306</v>
      </c>
      <c r="F38" s="26">
        <v>487.01879487179485</v>
      </c>
      <c r="G38" s="53">
        <v>87.008533333333332</v>
      </c>
      <c r="H38" s="53">
        <v>692.22153846153844</v>
      </c>
      <c r="I38" s="53">
        <v>487.01879487179485</v>
      </c>
      <c r="J38" s="16" t="s">
        <v>615</v>
      </c>
      <c r="K38" s="26">
        <v>1</v>
      </c>
      <c r="L38" s="16" t="s">
        <v>488</v>
      </c>
    </row>
    <row r="39" spans="1:14">
      <c r="A39" s="22"/>
      <c r="B39" s="23"/>
      <c r="C39" s="23" t="s">
        <v>188</v>
      </c>
      <c r="D39" s="23" t="s">
        <v>220</v>
      </c>
      <c r="E39" s="23" t="s">
        <v>151</v>
      </c>
      <c r="F39" s="25">
        <v>6.0000000000000005E-2</v>
      </c>
      <c r="G39" s="60">
        <v>3.2000000000000001E-2</v>
      </c>
      <c r="H39" s="60">
        <v>8.8000000000000009E-2</v>
      </c>
      <c r="I39" s="53">
        <v>6.0000000000000005E-2</v>
      </c>
      <c r="J39" s="16" t="s">
        <v>615</v>
      </c>
      <c r="K39" s="26">
        <v>1</v>
      </c>
      <c r="L39" s="16" t="s">
        <v>488</v>
      </c>
    </row>
    <row r="40" spans="1:14">
      <c r="A40" s="22"/>
      <c r="B40" s="23"/>
      <c r="C40" s="23" t="s">
        <v>190</v>
      </c>
      <c r="D40" s="23" t="s">
        <v>235</v>
      </c>
      <c r="E40" s="19" t="s">
        <v>318</v>
      </c>
      <c r="F40" s="25">
        <v>0.88800000000000012</v>
      </c>
      <c r="G40" s="60">
        <v>0.84800000000000009</v>
      </c>
      <c r="H40" s="60">
        <v>0.92800000000000016</v>
      </c>
      <c r="I40" s="53">
        <v>0.88800000000000012</v>
      </c>
      <c r="J40" s="16" t="s">
        <v>615</v>
      </c>
      <c r="K40" s="26">
        <v>1</v>
      </c>
      <c r="L40" s="16" t="s">
        <v>488</v>
      </c>
    </row>
    <row r="41" spans="1:14" ht="15.75">
      <c r="A41" s="16"/>
      <c r="B41" s="16"/>
      <c r="C41" s="16"/>
      <c r="D41" s="16"/>
      <c r="E41" s="16"/>
    </row>
    <row r="42" spans="1:14" ht="15.75">
      <c r="A42" s="26"/>
    </row>
    <row r="43" spans="1:14" ht="15.75">
      <c r="A43" s="26"/>
    </row>
    <row r="44" spans="1:14" ht="15.75">
      <c r="A44" s="26"/>
      <c r="B44" s="16"/>
      <c r="C44" s="16"/>
      <c r="D44" s="16"/>
      <c r="E44" s="16"/>
    </row>
    <row r="45" spans="1:14" ht="15.75">
      <c r="A45" s="26"/>
      <c r="B45" s="16"/>
      <c r="C45" s="16"/>
      <c r="D45" s="16"/>
      <c r="E45" s="16"/>
    </row>
    <row r="46" spans="1:14" ht="15.75">
      <c r="A46" s="26"/>
      <c r="B46" s="16"/>
      <c r="C46" s="16"/>
      <c r="D46" s="16"/>
      <c r="E46" s="16"/>
    </row>
    <row r="47" spans="1:14" ht="15.75">
      <c r="A47" s="26"/>
      <c r="B47" s="16"/>
      <c r="C47" s="16"/>
      <c r="D47" s="16"/>
      <c r="E47" s="16"/>
    </row>
    <row r="48" spans="1:14" ht="15.75">
      <c r="A48" s="26"/>
      <c r="B48" s="16"/>
      <c r="C48" s="16"/>
      <c r="D48" s="16"/>
      <c r="E48" s="16"/>
    </row>
    <row r="49" spans="1:5" ht="15.75">
      <c r="A49" s="26"/>
      <c r="B49" s="16"/>
      <c r="C49" s="16"/>
      <c r="D49" s="16"/>
      <c r="E49" s="16"/>
    </row>
    <row r="50" spans="1:5" ht="15.75">
      <c r="A50" s="26"/>
      <c r="B50" s="16"/>
      <c r="C50" s="16"/>
      <c r="D50" s="16"/>
      <c r="E50" s="16"/>
    </row>
    <row r="51" spans="1:5" ht="15.75">
      <c r="A51" s="26"/>
      <c r="B51" s="16"/>
      <c r="C51" s="16"/>
      <c r="D51" s="16"/>
      <c r="E51" s="16"/>
    </row>
    <row r="52" spans="1:5" ht="15.75">
      <c r="A52" s="26"/>
      <c r="B52" s="16"/>
      <c r="C52" s="16"/>
      <c r="D52" s="16"/>
      <c r="E52" s="16"/>
    </row>
    <row r="53" spans="1:5" ht="15.75">
      <c r="A53" s="26"/>
      <c r="B53" s="16"/>
      <c r="C53" s="16"/>
      <c r="D53" s="16"/>
      <c r="E53" s="16"/>
    </row>
    <row r="54" spans="1:5" ht="15.75">
      <c r="A54" s="26"/>
      <c r="B54" s="16"/>
      <c r="C54" s="16"/>
      <c r="D54" s="16"/>
      <c r="E54" s="16"/>
    </row>
    <row r="55" spans="1:5" ht="15.75">
      <c r="A55" s="26"/>
      <c r="B55" s="16"/>
      <c r="C55" s="16"/>
      <c r="D55" s="16"/>
      <c r="E55" s="16"/>
    </row>
    <row r="56" spans="1:5" ht="15.75">
      <c r="A56" s="26"/>
      <c r="B56" s="16"/>
      <c r="C56" s="16"/>
      <c r="D56" s="16"/>
      <c r="E56" s="16"/>
    </row>
    <row r="57" spans="1:5" ht="15.75">
      <c r="A57" s="26"/>
      <c r="B57" s="16"/>
      <c r="C57" s="16"/>
      <c r="D57" s="16"/>
      <c r="E57" s="16"/>
    </row>
    <row r="58" spans="1:5" ht="15.75">
      <c r="A58" s="26"/>
      <c r="C58" s="16"/>
      <c r="D58" s="16"/>
      <c r="E58" s="16"/>
    </row>
    <row r="59" spans="1:5" ht="15.75">
      <c r="A59" s="26"/>
    </row>
    <row r="60" spans="1:5" ht="15.75">
      <c r="A60" s="16"/>
    </row>
    <row r="61" spans="1:5" ht="15.75">
      <c r="A61" s="16"/>
    </row>
    <row r="62" spans="1:5" ht="15.75">
      <c r="A62" s="16"/>
    </row>
    <row r="63" spans="1:5" ht="15.75">
      <c r="A63" s="16"/>
    </row>
    <row r="64" spans="1:5" ht="15.75">
      <c r="A64" s="16"/>
    </row>
    <row r="65" spans="1:1" ht="15.75">
      <c r="A65" s="16"/>
    </row>
    <row r="66" spans="1:1" ht="15.75">
      <c r="A66" s="16"/>
    </row>
    <row r="67" spans="1:1" ht="15.75">
      <c r="A67" s="26"/>
    </row>
    <row r="68" spans="1:1" ht="15.75">
      <c r="A68" s="26"/>
    </row>
    <row r="69" spans="1:1" ht="15.75">
      <c r="A69" s="26"/>
    </row>
    <row r="70" spans="1:1" ht="15.75">
      <c r="A70" s="26"/>
    </row>
    <row r="71" spans="1:1" ht="15.75">
      <c r="A71" s="26"/>
    </row>
    <row r="72" spans="1:1" ht="15.75">
      <c r="A72" s="26"/>
    </row>
    <row r="73" spans="1:1" ht="15.75">
      <c r="A73" s="26"/>
    </row>
    <row r="74" spans="1:1" ht="15.75">
      <c r="A74" s="26"/>
    </row>
    <row r="75" spans="1:1" ht="15.75">
      <c r="A75" s="26"/>
    </row>
  </sheetData>
  <dataConsolidate/>
  <conditionalFormatting sqref="A9 F18:F19 A15:D17 F21 A40:B40 A38:B38 F23:F27 A18:A37 J25:J40 C9:F9 G7:L7 J11:J21 M15:P21 M25:P40 A44:B44 B30:E31 F29:F34 F36:F38 E11:F15 E10 A14:B14 C39:F40 H8:L8 B33:E34 B32 C12:D13 B37 E17:F17 F16 A41:AE43 F44:AE44 F6:O6 J7:M8 O7:O8 B1:B2 B36:E36 B35 J9:O9 M10:O14 Q15:AE40 A45:AE74 A75:AJ1048576 AK6:XFD1048576">
    <cfRule type="expression" dxfId="21" priority="34">
      <formula>CellHasFormula</formula>
    </cfRule>
  </conditionalFormatting>
  <conditionalFormatting sqref="B18:E20">
    <cfRule type="expression" dxfId="20" priority="26">
      <formula>CellHasFormula</formula>
    </cfRule>
  </conditionalFormatting>
  <conditionalFormatting sqref="B21:E23 D28 B25:D26 B24 E24 B27">
    <cfRule type="expression" dxfId="19" priority="24">
      <formula>CellHasFormula</formula>
    </cfRule>
  </conditionalFormatting>
  <conditionalFormatting sqref="G3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:K16 K18:K31 K33:K40">
    <cfRule type="expression" dxfId="18" priority="15">
      <formula>CellHasFormula</formula>
    </cfRule>
  </conditionalFormatting>
  <conditionalFormatting sqref="L11:L16 L33:L40 L18:L31">
    <cfRule type="expression" dxfId="17" priority="19">
      <formula>CellHasFormula</formula>
    </cfRule>
  </conditionalFormatting>
  <conditionalFormatting sqref="F28">
    <cfRule type="expression" dxfId="16" priority="14">
      <formula>CellHasFormula</formula>
    </cfRule>
  </conditionalFormatting>
  <conditionalFormatting sqref="B28:C29">
    <cfRule type="expression" dxfId="15" priority="13">
      <formula>CellHasFormula</formula>
    </cfRule>
  </conditionalFormatting>
  <conditionalFormatting sqref="E25:E26 E28">
    <cfRule type="expression" dxfId="14" priority="12">
      <formula>CellHasFormula</formula>
    </cfRule>
  </conditionalFormatting>
  <conditionalFormatting sqref="C38:E38">
    <cfRule type="expression" dxfId="13" priority="11">
      <formula>CellHasFormula</formula>
    </cfRule>
  </conditionalFormatting>
  <conditionalFormatting sqref="K17">
    <cfRule type="expression" dxfId="12" priority="9">
      <formula>CellHasFormula</formula>
    </cfRule>
  </conditionalFormatting>
  <conditionalFormatting sqref="L17">
    <cfRule type="expression" dxfId="11" priority="10">
      <formula>CellHasFormula</formula>
    </cfRule>
  </conditionalFormatting>
  <conditionalFormatting sqref="C32">
    <cfRule type="expression" dxfId="10" priority="8">
      <formula>CellHasFormula</formula>
    </cfRule>
  </conditionalFormatting>
  <conditionalFormatting sqref="D32">
    <cfRule type="expression" dxfId="9" priority="7">
      <formula>CellHasFormula</formula>
    </cfRule>
  </conditionalFormatting>
  <conditionalFormatting sqref="F10">
    <cfRule type="expression" dxfId="8" priority="6">
      <formula>CellHasFormula</formula>
    </cfRule>
  </conditionalFormatting>
  <conditionalFormatting sqref="K32">
    <cfRule type="expression" dxfId="7" priority="4">
      <formula>CellHasFormula</formula>
    </cfRule>
  </conditionalFormatting>
  <conditionalFormatting sqref="L32">
    <cfRule type="expression" dxfId="6" priority="5">
      <formula>CellHasFormula</formula>
    </cfRule>
  </conditionalFormatting>
  <conditionalFormatting sqref="C27:D27">
    <cfRule type="expression" dxfId="5" priority="3">
      <formula>CellHasFormula</formula>
    </cfRule>
  </conditionalFormatting>
  <conditionalFormatting sqref="E27">
    <cfRule type="expression" dxfId="4" priority="2">
      <formula>CellHasFormula</formula>
    </cfRule>
  </conditionalFormatting>
  <dataValidations count="1">
    <dataValidation type="list" showInputMessage="1" showErrorMessage="1" errorTitle="Error" error="Valid distribution codes are 1,2, or 3" sqref="K9:K40">
      <formula1>dist_codes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randomis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1133475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monte_carlo">
                <anchor moveWithCells="1" sizeWithCells="1">
                  <from>
                    <xdr:col>0</xdr:col>
                    <xdr:colOff>57150</xdr:colOff>
                    <xdr:row>2</xdr:row>
                    <xdr:rowOff>66675</xdr:rowOff>
                  </from>
                  <to>
                    <xdr:col>0</xdr:col>
                    <xdr:colOff>1133475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set_to_mean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1133475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7" name="Button 6">
              <controlPr defaultSize="0" print="0" autoFill="0" autoPict="0" macro="[0]!set_scenario">
                <anchor moveWithCells="1" sizeWithCells="1">
                  <from>
                    <xdr:col>1</xdr:col>
                    <xdr:colOff>0</xdr:colOff>
                    <xdr:row>2</xdr:row>
                    <xdr:rowOff>66675</xdr:rowOff>
                  </from>
                  <to>
                    <xdr:col>2</xdr:col>
                    <xdr:colOff>133350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N38" sqref="N38"/>
    </sheetView>
  </sheetViews>
  <sheetFormatPr defaultRowHeight="15"/>
  <cols>
    <col min="1" max="1" width="28.28515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5:J35"/>
  <sheetViews>
    <sheetView workbookViewId="0">
      <selection activeCell="F22" sqref="F22"/>
    </sheetView>
  </sheetViews>
  <sheetFormatPr defaultRowHeight="15"/>
  <cols>
    <col min="4" max="4" width="10.42578125" bestFit="1" customWidth="1"/>
    <col min="5" max="5" width="13.85546875" bestFit="1" customWidth="1"/>
    <col min="8" max="8" width="10.28515625" customWidth="1"/>
    <col min="13" max="13" width="12" bestFit="1" customWidth="1"/>
  </cols>
  <sheetData>
    <row r="5" spans="5:9" ht="15.75" thickBot="1"/>
    <row r="6" spans="5:9" ht="18.75">
      <c r="E6" s="133" t="s">
        <v>482</v>
      </c>
      <c r="F6" s="31"/>
      <c r="G6" s="31"/>
      <c r="H6" s="31"/>
      <c r="I6" s="32"/>
    </row>
    <row r="7" spans="5:9">
      <c r="E7" s="93"/>
      <c r="F7" s="16"/>
      <c r="G7" s="16"/>
      <c r="H7" s="16"/>
      <c r="I7" s="94"/>
    </row>
    <row r="8" spans="5:9">
      <c r="E8" s="134" t="s">
        <v>475</v>
      </c>
      <c r="F8" s="135"/>
      <c r="G8" s="135"/>
      <c r="H8" s="135"/>
      <c r="I8" s="136"/>
    </row>
    <row r="9" spans="5:9">
      <c r="E9" s="137" t="s">
        <v>474</v>
      </c>
      <c r="F9" s="135"/>
      <c r="G9" s="135"/>
      <c r="H9" s="135"/>
      <c r="I9" s="136"/>
    </row>
    <row r="10" spans="5:9">
      <c r="E10" s="138"/>
      <c r="F10" s="135">
        <v>2010</v>
      </c>
      <c r="G10" s="135">
        <v>2030</v>
      </c>
      <c r="H10" s="135">
        <v>2050</v>
      </c>
      <c r="I10" s="136">
        <v>2100</v>
      </c>
    </row>
    <row r="11" spans="5:9">
      <c r="E11" s="138" t="s">
        <v>365</v>
      </c>
      <c r="F11" s="135">
        <f>$F$13*G11/$G$13</f>
        <v>7.1999999999999995E-2</v>
      </c>
      <c r="G11" s="135">
        <v>0.12</v>
      </c>
      <c r="H11" s="135">
        <v>0.45</v>
      </c>
      <c r="I11" s="136">
        <v>0.8</v>
      </c>
    </row>
    <row r="12" spans="5:9">
      <c r="E12" s="138" t="s">
        <v>476</v>
      </c>
      <c r="F12" s="135">
        <f>$F$13*G12/$G$13</f>
        <v>0.13800000000000001</v>
      </c>
      <c r="G12" s="135">
        <v>0.23</v>
      </c>
      <c r="H12" s="135">
        <v>0.54</v>
      </c>
      <c r="I12" s="136">
        <v>0.9</v>
      </c>
    </row>
    <row r="13" spans="5:9">
      <c r="E13" s="138" t="s">
        <v>473</v>
      </c>
      <c r="F13" s="135">
        <v>0.15</v>
      </c>
      <c r="G13" s="135">
        <v>0.25</v>
      </c>
      <c r="H13" s="135">
        <v>0.6</v>
      </c>
      <c r="I13" s="136">
        <v>0.92</v>
      </c>
    </row>
    <row r="14" spans="5:9">
      <c r="E14" s="138" t="s">
        <v>477</v>
      </c>
      <c r="F14" s="135">
        <f>$F$13*G14/$G$13</f>
        <v>0.186</v>
      </c>
      <c r="G14" s="135">
        <v>0.31</v>
      </c>
      <c r="H14" s="135">
        <v>0.66</v>
      </c>
      <c r="I14" s="136">
        <v>0.95</v>
      </c>
    </row>
    <row r="15" spans="5:9">
      <c r="E15" s="138" t="s">
        <v>366</v>
      </c>
      <c r="F15" s="135">
        <f>$F$13*G15/$G$13</f>
        <v>0.26400000000000001</v>
      </c>
      <c r="G15" s="135">
        <v>0.44</v>
      </c>
      <c r="H15" s="135">
        <v>0.73</v>
      </c>
      <c r="I15" s="136">
        <v>0.97</v>
      </c>
    </row>
    <row r="16" spans="5:9">
      <c r="E16" s="93"/>
      <c r="F16" s="16"/>
      <c r="G16" s="16"/>
      <c r="H16" s="16"/>
      <c r="I16" s="94"/>
    </row>
    <row r="17" spans="5:10">
      <c r="E17" s="139" t="s">
        <v>485</v>
      </c>
      <c r="F17" s="140"/>
      <c r="G17" s="140"/>
      <c r="H17" s="140"/>
      <c r="I17" s="141"/>
    </row>
    <row r="18" spans="5:10">
      <c r="E18" s="142" t="s">
        <v>481</v>
      </c>
      <c r="F18" s="140"/>
      <c r="G18" s="140"/>
      <c r="H18" s="140"/>
      <c r="I18" s="141"/>
    </row>
    <row r="19" spans="5:10">
      <c r="E19" s="143"/>
      <c r="F19" s="140">
        <v>2010</v>
      </c>
      <c r="G19" s="140">
        <v>2030</v>
      </c>
      <c r="H19" s="140">
        <v>2050</v>
      </c>
      <c r="I19" s="141">
        <v>2100</v>
      </c>
    </row>
    <row r="20" spans="5:10">
      <c r="E20" s="143" t="s">
        <v>366</v>
      </c>
      <c r="F20" s="145">
        <f>$F$22*G20/$G$22</f>
        <v>4.7111111111111104E-2</v>
      </c>
      <c r="G20" s="145">
        <f t="shared" ref="G20:I24" si="0">($F$22/(1-$F$13))* (1-G11)</f>
        <v>4.1568627450980389E-2</v>
      </c>
      <c r="H20" s="145">
        <f t="shared" si="0"/>
        <v>2.5980392156862746E-2</v>
      </c>
      <c r="I20" s="146">
        <f t="shared" si="0"/>
        <v>9.4474153297682689E-3</v>
      </c>
    </row>
    <row r="21" spans="5:10">
      <c r="E21" s="143" t="s">
        <v>483</v>
      </c>
      <c r="F21" s="145">
        <f>$F$22*G21/$G$22</f>
        <v>4.1222222222222223E-2</v>
      </c>
      <c r="G21" s="145">
        <f t="shared" si="0"/>
        <v>3.637254901960784E-2</v>
      </c>
      <c r="H21" s="145">
        <f t="shared" si="0"/>
        <v>2.1729055258467019E-2</v>
      </c>
      <c r="I21" s="146">
        <f t="shared" si="0"/>
        <v>4.7237076648841345E-3</v>
      </c>
    </row>
    <row r="22" spans="5:10">
      <c r="E22" s="143" t="s">
        <v>473</v>
      </c>
      <c r="F22" s="145">
        <f>530 * 12/44 * (1/(60*60)) * (1/1000000) * 1000000</f>
        <v>4.0151515151515146E-2</v>
      </c>
      <c r="G22" s="145">
        <f t="shared" si="0"/>
        <v>3.5427807486631012E-2</v>
      </c>
      <c r="H22" s="145">
        <f t="shared" si="0"/>
        <v>1.8894830659536541E-2</v>
      </c>
      <c r="I22" s="146">
        <f t="shared" si="0"/>
        <v>3.7789661319073062E-3</v>
      </c>
    </row>
    <row r="23" spans="5:10">
      <c r="E23" s="143" t="s">
        <v>484</v>
      </c>
      <c r="F23" s="145">
        <f>$F$22*G23/$G$22</f>
        <v>3.6939393939393932E-2</v>
      </c>
      <c r="G23" s="145">
        <f t="shared" si="0"/>
        <v>3.2593582887700527E-2</v>
      </c>
      <c r="H23" s="145">
        <f t="shared" si="0"/>
        <v>1.6060606060606056E-2</v>
      </c>
      <c r="I23" s="146">
        <f t="shared" si="0"/>
        <v>2.3618538324420698E-3</v>
      </c>
    </row>
    <row r="24" spans="5:10">
      <c r="E24" s="148" t="s">
        <v>365</v>
      </c>
      <c r="F24" s="147">
        <f>$F$22*G24/$G$22</f>
        <v>2.9979797979797981E-2</v>
      </c>
      <c r="G24" s="147">
        <f t="shared" si="0"/>
        <v>2.6452762923351161E-2</v>
      </c>
      <c r="H24" s="147">
        <f t="shared" si="0"/>
        <v>1.2754010695187166E-2</v>
      </c>
      <c r="I24" s="149">
        <f t="shared" si="0"/>
        <v>1.4171122994652418E-3</v>
      </c>
    </row>
    <row r="25" spans="5:10">
      <c r="E25" s="143" t="s">
        <v>486</v>
      </c>
      <c r="F25" s="145">
        <f>F21-F23</f>
        <v>4.282828282828291E-3</v>
      </c>
      <c r="G25" s="145">
        <f t="shared" ref="G25:I25" si="1">G21-G23</f>
        <v>3.7789661319073131E-3</v>
      </c>
      <c r="H25" s="145">
        <f t="shared" si="1"/>
        <v>5.6684491978609627E-3</v>
      </c>
      <c r="I25" s="146">
        <f t="shared" si="1"/>
        <v>2.3618538324420646E-3</v>
      </c>
    </row>
    <row r="26" spans="5:10" ht="15.75" thickBot="1">
      <c r="E26" s="144" t="s">
        <v>487</v>
      </c>
      <c r="F26" s="177">
        <f>F25/1.349</f>
        <v>3.1748171110661904E-3</v>
      </c>
      <c r="G26" s="177">
        <f t="shared" ref="G26:I26" si="2">G25/1.349</f>
        <v>2.8013092156466369E-3</v>
      </c>
      <c r="H26" s="177">
        <f t="shared" si="2"/>
        <v>4.2019638234699506E-3</v>
      </c>
      <c r="I26" s="178">
        <f t="shared" si="2"/>
        <v>1.7508182597791436E-3</v>
      </c>
    </row>
    <row r="29" spans="5:10">
      <c r="I29" t="s">
        <v>543</v>
      </c>
      <c r="J29" t="s">
        <v>544</v>
      </c>
    </row>
    <row r="30" spans="5:10">
      <c r="E30" t="s">
        <v>542</v>
      </c>
      <c r="H30" t="s">
        <v>545</v>
      </c>
      <c r="I30">
        <v>0</v>
      </c>
      <c r="J30">
        <v>900</v>
      </c>
    </row>
    <row r="31" spans="5:10">
      <c r="H31" t="s">
        <v>546</v>
      </c>
      <c r="I31">
        <f>I30*12/44</f>
        <v>0</v>
      </c>
      <c r="J31">
        <f>J30*12/44</f>
        <v>245.45454545454547</v>
      </c>
    </row>
    <row r="32" spans="5:10">
      <c r="H32" t="s">
        <v>547</v>
      </c>
      <c r="I32">
        <f>I31/(60*60)</f>
        <v>0</v>
      </c>
      <c r="J32">
        <f>J31/(60*60)</f>
        <v>6.8181818181818191E-2</v>
      </c>
    </row>
    <row r="33" spans="8:10">
      <c r="H33" t="s">
        <v>548</v>
      </c>
      <c r="I33">
        <f>I32/1000000</f>
        <v>0</v>
      </c>
      <c r="J33">
        <f>J32/1000000</f>
        <v>6.8181818181818186E-8</v>
      </c>
    </row>
    <row r="34" spans="8:10">
      <c r="H34" t="s">
        <v>549</v>
      </c>
      <c r="I34">
        <f>I33*1000000</f>
        <v>0</v>
      </c>
      <c r="J34" s="202">
        <f>F20</f>
        <v>4.7111111111111104E-2</v>
      </c>
    </row>
    <row r="35" spans="8:10">
      <c r="H35" t="s">
        <v>550</v>
      </c>
      <c r="I35">
        <f>I34*parameters!H20</f>
        <v>0</v>
      </c>
      <c r="J35">
        <f>J34*parameters!G20</f>
        <v>1.5546666666666665E-2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C69"/>
  <sheetViews>
    <sheetView zoomScaleNormal="100" workbookViewId="0">
      <selection activeCell="F6" sqref="F6"/>
    </sheetView>
  </sheetViews>
  <sheetFormatPr defaultRowHeight="15"/>
  <cols>
    <col min="1" max="1" width="38.5703125" bestFit="1" customWidth="1"/>
    <col min="2" max="2" width="12.140625" bestFit="1" customWidth="1"/>
    <col min="5" max="5" width="38.5703125" customWidth="1"/>
    <col min="6" max="7" width="12" bestFit="1" customWidth="1"/>
    <col min="8" max="8" width="11.42578125" bestFit="1" customWidth="1"/>
    <col min="9" max="9" width="8.7109375" bestFit="1" customWidth="1"/>
    <col min="12" max="12" width="10.28515625" customWidth="1"/>
    <col min="13" max="13" width="37" customWidth="1"/>
    <col min="15" max="15" width="10.5703125" customWidth="1"/>
    <col min="16" max="16" width="12.5703125" customWidth="1"/>
    <col min="17" max="17" width="11.5703125" customWidth="1"/>
    <col min="18" max="18" width="28.5703125" customWidth="1"/>
  </cols>
  <sheetData>
    <row r="2" spans="1:15" s="6" customFormat="1" ht="18.75">
      <c r="A2" s="5" t="s">
        <v>67</v>
      </c>
      <c r="D2" s="5"/>
      <c r="E2" s="5" t="s">
        <v>68</v>
      </c>
    </row>
    <row r="5" spans="1:15">
      <c r="E5" s="11" t="s">
        <v>166</v>
      </c>
      <c r="M5" t="s">
        <v>309</v>
      </c>
      <c r="N5">
        <v>0.8</v>
      </c>
    </row>
    <row r="6" spans="1:15">
      <c r="E6" t="s">
        <v>13</v>
      </c>
      <c r="F6" s="2">
        <f>(1 - ( 1 /( (1+discount)^bes_life) ) )  / discount</f>
        <v>22.331050151314557</v>
      </c>
      <c r="M6" t="s">
        <v>310</v>
      </c>
      <c r="N6">
        <v>45</v>
      </c>
      <c r="O6" t="s">
        <v>311</v>
      </c>
    </row>
    <row r="7" spans="1:15">
      <c r="A7" t="s">
        <v>422</v>
      </c>
      <c r="B7" s="2">
        <f>bm_lhv*bes_energy_efficiency</f>
        <v>7.3178319157894745</v>
      </c>
      <c r="C7" t="s">
        <v>26</v>
      </c>
      <c r="E7" t="s">
        <v>70</v>
      </c>
      <c r="F7" s="2">
        <f>bes_cc/bes_annuity</f>
        <v>31.054459723076409</v>
      </c>
      <c r="G7" t="s">
        <v>69</v>
      </c>
      <c r="N7">
        <f>N6/N5</f>
        <v>56.25</v>
      </c>
      <c r="O7" t="s">
        <v>312</v>
      </c>
    </row>
    <row r="8" spans="1:15">
      <c r="E8" t="s">
        <v>164</v>
      </c>
      <c r="F8" s="2">
        <f>bes_cc*O_M_factor</f>
        <v>27.739147899919889</v>
      </c>
      <c r="G8" t="s">
        <v>69</v>
      </c>
      <c r="M8" t="s">
        <v>313</v>
      </c>
      <c r="N8">
        <f>1/N7</f>
        <v>1.7777777777777778E-2</v>
      </c>
      <c r="O8" t="s">
        <v>314</v>
      </c>
    </row>
    <row r="9" spans="1:15" ht="15.75" thickBot="1">
      <c r="A9" t="s">
        <v>23</v>
      </c>
      <c r="B9" s="2">
        <f>bm_lhv * ff_c_intensity * rebound</f>
        <v>0.14585627374035087</v>
      </c>
      <c r="C9" t="s">
        <v>25</v>
      </c>
      <c r="E9" t="s">
        <v>169</v>
      </c>
      <c r="F9" s="62"/>
      <c r="G9" t="s">
        <v>170</v>
      </c>
      <c r="M9" t="s">
        <v>54</v>
      </c>
      <c r="N9">
        <v>0.5</v>
      </c>
    </row>
    <row r="10" spans="1:15" ht="15.75" thickBot="1">
      <c r="A10" t="s">
        <v>126</v>
      </c>
      <c r="B10" s="2">
        <f>B9</f>
        <v>0.14585627374035087</v>
      </c>
      <c r="C10" t="s">
        <v>25</v>
      </c>
      <c r="E10" s="12" t="s">
        <v>171</v>
      </c>
      <c r="F10" s="13">
        <f>F7+F8+F9</f>
        <v>58.793607622996298</v>
      </c>
      <c r="G10" s="14" t="s">
        <v>170</v>
      </c>
      <c r="M10" t="s">
        <v>315</v>
      </c>
      <c r="N10">
        <v>15</v>
      </c>
      <c r="O10" t="s">
        <v>316</v>
      </c>
    </row>
    <row r="11" spans="1:15">
      <c r="M11" t="s">
        <v>317</v>
      </c>
      <c r="N11">
        <f>N5*N10/N6</f>
        <v>0.26666666666666666</v>
      </c>
      <c r="O11" t="s">
        <v>25</v>
      </c>
    </row>
    <row r="12" spans="1:15">
      <c r="E12" s="11" t="s">
        <v>167</v>
      </c>
      <c r="N12">
        <f>N11/N9</f>
        <v>0.53333333333333333</v>
      </c>
      <c r="O12" t="s">
        <v>318</v>
      </c>
    </row>
    <row r="13" spans="1:15">
      <c r="E13" t="s">
        <v>127</v>
      </c>
      <c r="F13" s="2">
        <f>bes_tot_c_abatement*c_price</f>
        <v>244.45511478882807</v>
      </c>
      <c r="G13" t="s">
        <v>128</v>
      </c>
    </row>
    <row r="14" spans="1:15" ht="15.75" thickBot="1">
      <c r="E14" t="s">
        <v>454</v>
      </c>
      <c r="F14" s="2">
        <f>bes_elec_prod*elec_price</f>
        <v>929.7510348304171</v>
      </c>
      <c r="G14" t="s">
        <v>128</v>
      </c>
    </row>
    <row r="15" spans="1:15" ht="15.75" thickBot="1">
      <c r="E15" s="12" t="s">
        <v>143</v>
      </c>
      <c r="F15" s="13">
        <f>F14+F13</f>
        <v>1174.2061496192453</v>
      </c>
      <c r="G15" s="14" t="s">
        <v>128</v>
      </c>
      <c r="L15" s="61" t="s">
        <v>353</v>
      </c>
    </row>
    <row r="16" spans="1:15">
      <c r="L16" t="s">
        <v>352</v>
      </c>
    </row>
    <row r="17" spans="2:29">
      <c r="E17" s="11" t="s">
        <v>168</v>
      </c>
      <c r="L17" s="78"/>
      <c r="M17" s="78" t="s">
        <v>338</v>
      </c>
      <c r="N17" s="78"/>
      <c r="O17" s="78"/>
      <c r="P17" s="84"/>
      <c r="Q17" s="78"/>
      <c r="R17" s="78"/>
    </row>
    <row r="18" spans="2:29">
      <c r="E18" s="16" t="s">
        <v>165</v>
      </c>
      <c r="F18" s="53">
        <f>F15-F10</f>
        <v>1115.412541996249</v>
      </c>
      <c r="G18" s="16" t="s">
        <v>128</v>
      </c>
      <c r="L18" s="78"/>
      <c r="M18" s="78"/>
      <c r="N18" s="78"/>
      <c r="O18" s="78"/>
      <c r="P18" s="78"/>
      <c r="Q18" s="78"/>
      <c r="R18" s="78"/>
    </row>
    <row r="19" spans="2:29" ht="15.75" thickBot="1">
      <c r="E19" s="15" t="s">
        <v>172</v>
      </c>
      <c r="F19" s="2">
        <f xml:space="preserve"> IF(beccs_available, MAX(bebcs_net_value,beccs_net_value), MAX(bebcs_net_value))</f>
        <v>1452.2622176518366</v>
      </c>
      <c r="G19" t="s">
        <v>170</v>
      </c>
      <c r="L19" s="78"/>
      <c r="M19" s="85" t="s">
        <v>358</v>
      </c>
      <c r="N19" s="85" t="s">
        <v>329</v>
      </c>
      <c r="O19" s="86" t="s">
        <v>340</v>
      </c>
      <c r="P19" s="85" t="s">
        <v>330</v>
      </c>
      <c r="Q19" s="85" t="s">
        <v>339</v>
      </c>
      <c r="R19" s="85" t="s">
        <v>360</v>
      </c>
    </row>
    <row r="20" spans="2:29" ht="15.75" thickBot="1">
      <c r="E20" s="28" t="s">
        <v>197</v>
      </c>
      <c r="F20" s="73">
        <f>bes_net_value-F19</f>
        <v>-336.84967565558759</v>
      </c>
      <c r="G20" s="14" t="s">
        <v>170</v>
      </c>
      <c r="L20" s="79">
        <v>2012</v>
      </c>
      <c r="M20" s="79" t="s">
        <v>341</v>
      </c>
      <c r="N20" s="79" t="s">
        <v>331</v>
      </c>
      <c r="O20" s="79" t="s">
        <v>332</v>
      </c>
      <c r="P20" s="80" t="s">
        <v>333</v>
      </c>
      <c r="Q20" s="81" t="s">
        <v>334</v>
      </c>
      <c r="R20" s="81" t="s">
        <v>334</v>
      </c>
    </row>
    <row r="21" spans="2:29">
      <c r="L21" s="79"/>
      <c r="M21" s="79" t="s">
        <v>342</v>
      </c>
      <c r="N21" s="79" t="s">
        <v>343</v>
      </c>
      <c r="O21" s="79" t="s">
        <v>344</v>
      </c>
      <c r="P21" s="79" t="s">
        <v>345</v>
      </c>
      <c r="Q21" s="79" t="s">
        <v>335</v>
      </c>
      <c r="R21" s="79" t="s">
        <v>363</v>
      </c>
    </row>
    <row r="22" spans="2:29">
      <c r="L22" s="79"/>
      <c r="M22" s="79" t="s">
        <v>346</v>
      </c>
      <c r="N22" s="79" t="s">
        <v>336</v>
      </c>
      <c r="O22" s="82" t="s">
        <v>347</v>
      </c>
      <c r="P22" s="83" t="s">
        <v>348</v>
      </c>
      <c r="Q22" s="79" t="s">
        <v>337</v>
      </c>
      <c r="R22" s="79" t="s">
        <v>337</v>
      </c>
    </row>
    <row r="23" spans="2:29">
      <c r="L23" s="77">
        <v>2030</v>
      </c>
      <c r="M23" s="77" t="s">
        <v>341</v>
      </c>
      <c r="N23" s="87" t="s">
        <v>349</v>
      </c>
      <c r="O23" s="77" t="s">
        <v>350</v>
      </c>
      <c r="P23" s="77" t="s">
        <v>351</v>
      </c>
      <c r="Q23" s="77" t="s">
        <v>351</v>
      </c>
      <c r="R23" s="77" t="s">
        <v>351</v>
      </c>
    </row>
    <row r="24" spans="2:29">
      <c r="B24">
        <f>20*0.03</f>
        <v>0.6</v>
      </c>
      <c r="L24" s="77"/>
      <c r="M24" s="77" t="s">
        <v>342</v>
      </c>
      <c r="N24" s="77" t="s">
        <v>354</v>
      </c>
      <c r="O24" s="77" t="s">
        <v>355</v>
      </c>
      <c r="P24" s="77" t="s">
        <v>356</v>
      </c>
      <c r="Q24" s="77" t="s">
        <v>357</v>
      </c>
      <c r="R24" s="77" t="s">
        <v>363</v>
      </c>
    </row>
    <row r="25" spans="2:29">
      <c r="B25">
        <f>ff_c_intensity</f>
        <v>7.7733333333333326E-3</v>
      </c>
      <c r="L25" s="77"/>
      <c r="M25" s="77" t="s">
        <v>346</v>
      </c>
      <c r="N25" s="77" t="s">
        <v>336</v>
      </c>
      <c r="O25" s="88" t="s">
        <v>347</v>
      </c>
      <c r="P25" s="89" t="s">
        <v>348</v>
      </c>
      <c r="Q25" s="77" t="s">
        <v>337</v>
      </c>
      <c r="R25" s="77" t="s">
        <v>337</v>
      </c>
    </row>
    <row r="26" spans="2:29">
      <c r="B26">
        <f>bm_lhv</f>
        <v>18.76367157894737</v>
      </c>
      <c r="C26">
        <f>B26*B25</f>
        <v>0.14585627374035087</v>
      </c>
      <c r="L26" s="76" t="s">
        <v>327</v>
      </c>
    </row>
    <row r="27" spans="2:29">
      <c r="L27" s="76" t="s">
        <v>325</v>
      </c>
      <c r="N27" s="76"/>
      <c r="O27" s="76"/>
      <c r="P27" s="76"/>
      <c r="Q27" s="76"/>
      <c r="R27" s="76"/>
      <c r="S27" s="76"/>
    </row>
    <row r="28" spans="2:29">
      <c r="L28" s="76" t="s">
        <v>326</v>
      </c>
      <c r="N28" s="76"/>
      <c r="O28" s="76"/>
      <c r="P28" s="76"/>
      <c r="Q28" s="76"/>
      <c r="R28" s="76"/>
      <c r="S28" s="76"/>
    </row>
    <row r="29" spans="2:29" ht="15.75" thickBot="1">
      <c r="N29" s="76"/>
      <c r="O29" s="76"/>
      <c r="P29" s="76"/>
      <c r="Q29" s="76"/>
      <c r="R29" s="76"/>
      <c r="S29" s="76"/>
    </row>
    <row r="30" spans="2:29" ht="75">
      <c r="L30" s="91" t="s">
        <v>359</v>
      </c>
      <c r="M30" s="31"/>
      <c r="N30" s="92" t="s">
        <v>361</v>
      </c>
      <c r="O30" s="92" t="s">
        <v>362</v>
      </c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2"/>
    </row>
    <row r="31" spans="2:29">
      <c r="L31" s="93"/>
      <c r="M31" s="90" t="s">
        <v>342</v>
      </c>
      <c r="N31" s="16">
        <v>2934</v>
      </c>
      <c r="O31" s="16">
        <v>3246</v>
      </c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94"/>
    </row>
    <row r="32" spans="2:29">
      <c r="L32" s="93"/>
      <c r="M32" s="90" t="s">
        <v>370</v>
      </c>
      <c r="N32" s="16">
        <f>N31+300</f>
        <v>3234</v>
      </c>
      <c r="O32" s="16">
        <f>O31+700</f>
        <v>3946</v>
      </c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94"/>
    </row>
    <row r="33" spans="12:29">
      <c r="L33" s="93" t="s">
        <v>328</v>
      </c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94"/>
    </row>
    <row r="34" spans="12:29" ht="15.75" thickBot="1">
      <c r="L34" s="95" t="s">
        <v>364</v>
      </c>
      <c r="M34" s="96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6"/>
    </row>
    <row r="35" spans="12:29" ht="15.75" thickBot="1"/>
    <row r="36" spans="12:29">
      <c r="M36" s="97"/>
      <c r="N36" s="110" t="s">
        <v>369</v>
      </c>
      <c r="O36" s="98"/>
      <c r="P36" s="98"/>
      <c r="Q36" s="98"/>
      <c r="R36" s="98"/>
      <c r="S36" s="98"/>
      <c r="T36" s="99"/>
    </row>
    <row r="37" spans="12:29">
      <c r="M37" s="100" t="s">
        <v>365</v>
      </c>
      <c r="N37" s="101">
        <f>2400*0.28</f>
        <v>672.00000000000011</v>
      </c>
      <c r="O37" s="101" t="s">
        <v>374</v>
      </c>
      <c r="P37" s="101"/>
      <c r="Q37" s="101"/>
      <c r="R37" s="101"/>
      <c r="S37" s="101"/>
      <c r="T37" s="102"/>
    </row>
    <row r="38" spans="12:29">
      <c r="M38" s="100" t="s">
        <v>366</v>
      </c>
      <c r="N38" s="101">
        <f>4200*0.4</f>
        <v>1680</v>
      </c>
      <c r="O38" s="101" t="s">
        <v>374</v>
      </c>
      <c r="P38" s="101"/>
      <c r="Q38" s="101"/>
      <c r="R38" s="101"/>
      <c r="S38" s="101"/>
      <c r="T38" s="102"/>
      <c r="V38" s="108"/>
    </row>
    <row r="39" spans="12:29">
      <c r="M39" s="100" t="s">
        <v>367</v>
      </c>
      <c r="N39" s="101">
        <f>3200*0.35</f>
        <v>1120</v>
      </c>
      <c r="O39" s="101" t="s">
        <v>374</v>
      </c>
      <c r="P39" s="101"/>
      <c r="Q39" s="101"/>
      <c r="R39" s="101"/>
      <c r="S39" s="101">
        <v>1</v>
      </c>
      <c r="T39" s="102" t="s">
        <v>388</v>
      </c>
    </row>
    <row r="40" spans="12:29">
      <c r="M40" s="100" t="s">
        <v>368</v>
      </c>
      <c r="N40" s="101">
        <f>4000*0.39</f>
        <v>1560</v>
      </c>
      <c r="O40" s="101" t="s">
        <v>374</v>
      </c>
      <c r="P40" s="101"/>
      <c r="Q40" s="101"/>
      <c r="R40" s="109" t="s">
        <v>385</v>
      </c>
      <c r="S40" s="101">
        <f>365*24*60*60*capacity_factor</f>
        <v>26805600</v>
      </c>
      <c r="T40" s="102" t="s">
        <v>371</v>
      </c>
    </row>
    <row r="41" spans="12:29">
      <c r="M41" s="100"/>
      <c r="N41" s="101"/>
      <c r="O41" s="101"/>
      <c r="P41" s="101"/>
      <c r="Q41" s="101"/>
      <c r="R41" s="109" t="s">
        <v>385</v>
      </c>
      <c r="S41" s="101">
        <f>S40/1000000</f>
        <v>26.805599999999998</v>
      </c>
      <c r="T41" s="102" t="s">
        <v>372</v>
      </c>
    </row>
    <row r="42" spans="12:29">
      <c r="M42" s="100" t="s">
        <v>365</v>
      </c>
      <c r="N42" s="101">
        <f>N37*$S$43</f>
        <v>470.39377223612365</v>
      </c>
      <c r="O42" s="101" t="s">
        <v>389</v>
      </c>
      <c r="P42" s="101"/>
      <c r="Q42" s="101"/>
      <c r="R42" s="109" t="s">
        <v>386</v>
      </c>
      <c r="S42" s="101">
        <f>S41/bm_lhv</f>
        <v>1.428590342098909</v>
      </c>
      <c r="T42" s="102"/>
    </row>
    <row r="43" spans="12:29">
      <c r="M43" s="100" t="s">
        <v>366</v>
      </c>
      <c r="N43" s="101">
        <f t="shared" ref="N43:N45" si="0">N38*$S$43</f>
        <v>1175.9844305903089</v>
      </c>
      <c r="O43" s="101" t="s">
        <v>389</v>
      </c>
      <c r="P43" s="101"/>
      <c r="Q43" s="101"/>
      <c r="R43" s="109" t="s">
        <v>387</v>
      </c>
      <c r="S43" s="101">
        <f>1/S42</f>
        <v>0.69999073249423149</v>
      </c>
      <c r="T43" s="102"/>
    </row>
    <row r="44" spans="12:29">
      <c r="M44" s="100" t="s">
        <v>367</v>
      </c>
      <c r="N44" s="101">
        <f t="shared" si="0"/>
        <v>783.98962039353933</v>
      </c>
      <c r="O44" s="101" t="s">
        <v>389</v>
      </c>
      <c r="P44" s="101"/>
      <c r="Q44" s="101"/>
      <c r="R44" s="101"/>
      <c r="S44" s="101"/>
      <c r="T44" s="102"/>
    </row>
    <row r="45" spans="12:29">
      <c r="M45" s="100" t="s">
        <v>368</v>
      </c>
      <c r="N45" s="101">
        <f t="shared" si="0"/>
        <v>1091.9855426910012</v>
      </c>
      <c r="O45" s="101" t="s">
        <v>389</v>
      </c>
      <c r="P45" s="101"/>
      <c r="Q45" s="101"/>
      <c r="R45" s="101"/>
      <c r="S45" s="101"/>
      <c r="T45" s="102"/>
    </row>
    <row r="46" spans="12:29">
      <c r="M46" s="100"/>
      <c r="N46" s="101"/>
      <c r="O46" s="101"/>
      <c r="P46" s="101"/>
      <c r="Q46" s="101"/>
      <c r="R46" s="101"/>
      <c r="S46" s="101"/>
      <c r="T46" s="102"/>
    </row>
    <row r="47" spans="12:29">
      <c r="M47" s="100" t="s">
        <v>398</v>
      </c>
      <c r="N47" s="101">
        <f>MIN(N42:N45)</f>
        <v>470.39377223612365</v>
      </c>
      <c r="O47" s="101" t="s">
        <v>389</v>
      </c>
      <c r="P47" s="101"/>
      <c r="Q47" s="101"/>
      <c r="R47" s="101"/>
      <c r="S47" s="101"/>
      <c r="T47" s="102"/>
    </row>
    <row r="48" spans="12:29">
      <c r="M48" s="100" t="s">
        <v>399</v>
      </c>
      <c r="N48" s="101">
        <f>MAX(N42:N45)</f>
        <v>1175.9844305903089</v>
      </c>
      <c r="O48" s="101" t="s">
        <v>389</v>
      </c>
      <c r="P48" s="101"/>
      <c r="Q48" s="101"/>
      <c r="R48" s="101"/>
      <c r="S48" s="101"/>
      <c r="T48" s="102"/>
    </row>
    <row r="49" spans="13:20">
      <c r="M49" s="100"/>
      <c r="N49" s="101"/>
      <c r="O49" s="101"/>
      <c r="P49" s="101"/>
      <c r="Q49" s="101"/>
      <c r="R49" s="101"/>
      <c r="S49" s="101"/>
      <c r="T49" s="102"/>
    </row>
    <row r="50" spans="13:20">
      <c r="M50" s="100" t="s">
        <v>390</v>
      </c>
      <c r="N50" s="101">
        <f>N47+(N53-N47)*(2020-2012)/(2030-2012)</f>
        <v>401.76168425554442</v>
      </c>
      <c r="O50" s="101" t="s">
        <v>389</v>
      </c>
      <c r="P50" s="101"/>
      <c r="Q50" s="101"/>
      <c r="R50" s="101"/>
      <c r="S50" s="101"/>
      <c r="T50" s="102"/>
    </row>
    <row r="51" spans="13:20">
      <c r="M51" s="100" t="s">
        <v>391</v>
      </c>
      <c r="N51" s="101">
        <f>N48+(N54-N48)*(2020-2012)/(2030-2012)</f>
        <v>1129.3183817573599</v>
      </c>
      <c r="O51" s="101" t="s">
        <v>389</v>
      </c>
      <c r="P51" s="101"/>
      <c r="Q51" s="101"/>
      <c r="R51" s="101"/>
      <c r="S51" s="101"/>
      <c r="T51" s="102"/>
    </row>
    <row r="52" spans="13:20">
      <c r="M52" s="100"/>
      <c r="N52" s="101"/>
      <c r="O52" s="101"/>
      <c r="P52" s="101"/>
      <c r="Q52" s="101"/>
      <c r="R52" s="101"/>
      <c r="S52" s="101"/>
      <c r="T52" s="102"/>
    </row>
    <row r="53" spans="13:20">
      <c r="M53" s="100" t="s">
        <v>392</v>
      </c>
      <c r="N53" s="101">
        <f>N47*0.28/0.33*1900/2400</f>
        <v>315.97157427982046</v>
      </c>
      <c r="O53" s="101" t="s">
        <v>389</v>
      </c>
      <c r="P53" s="101"/>
      <c r="Q53" s="101"/>
      <c r="R53" s="101"/>
      <c r="S53" s="101"/>
      <c r="T53" s="102"/>
    </row>
    <row r="54" spans="13:20">
      <c r="M54" s="100" t="s">
        <v>393</v>
      </c>
      <c r="N54" s="101">
        <f>N48*0.45/0.4*3400/4200</f>
        <v>1070.985820716174</v>
      </c>
      <c r="O54" s="101" t="s">
        <v>389</v>
      </c>
      <c r="P54" s="101"/>
      <c r="Q54" s="101"/>
      <c r="R54" s="101"/>
      <c r="S54" s="101"/>
      <c r="T54" s="102"/>
    </row>
    <row r="55" spans="13:20">
      <c r="M55" s="100"/>
      <c r="N55" s="101"/>
      <c r="O55" s="101"/>
      <c r="P55" s="101"/>
      <c r="Q55" s="101"/>
      <c r="R55" s="101"/>
      <c r="S55" s="101"/>
      <c r="T55" s="102"/>
    </row>
    <row r="56" spans="13:20">
      <c r="M56" s="100" t="s">
        <v>394</v>
      </c>
      <c r="N56" s="101">
        <f>N53</f>
        <v>315.97157427982046</v>
      </c>
      <c r="O56" s="101" t="s">
        <v>389</v>
      </c>
      <c r="P56" s="101"/>
      <c r="Q56" s="101"/>
      <c r="R56" s="101"/>
      <c r="S56" s="101"/>
      <c r="T56" s="102"/>
    </row>
    <row r="57" spans="13:20">
      <c r="M57" s="100" t="s">
        <v>395</v>
      </c>
      <c r="N57" s="101">
        <f>N54</f>
        <v>1070.985820716174</v>
      </c>
      <c r="O57" s="101" t="s">
        <v>389</v>
      </c>
      <c r="P57" s="101"/>
      <c r="Q57" s="101"/>
      <c r="R57" s="101"/>
      <c r="S57" s="101"/>
      <c r="T57" s="102"/>
    </row>
    <row r="58" spans="13:20">
      <c r="M58" s="100"/>
      <c r="N58" s="101"/>
      <c r="O58" s="101"/>
      <c r="P58" s="101"/>
      <c r="Q58" s="101"/>
      <c r="R58" s="101"/>
      <c r="S58" s="101"/>
      <c r="T58" s="102"/>
    </row>
    <row r="59" spans="13:20">
      <c r="M59" s="100" t="s">
        <v>396</v>
      </c>
      <c r="N59" s="101">
        <f>N56</f>
        <v>315.97157427982046</v>
      </c>
      <c r="O59" s="101" t="s">
        <v>389</v>
      </c>
      <c r="P59" s="101"/>
      <c r="Q59" s="101"/>
      <c r="R59" s="101"/>
      <c r="S59" s="101"/>
      <c r="T59" s="102"/>
    </row>
    <row r="60" spans="13:20" ht="15.75" thickBot="1">
      <c r="M60" s="103" t="s">
        <v>397</v>
      </c>
      <c r="N60" s="104">
        <f>N57</f>
        <v>1070.985820716174</v>
      </c>
      <c r="O60" s="104" t="s">
        <v>389</v>
      </c>
      <c r="P60" s="104"/>
      <c r="Q60" s="104"/>
      <c r="R60" s="104"/>
      <c r="S60" s="104"/>
      <c r="T60" s="105"/>
    </row>
    <row r="64" spans="13:20">
      <c r="M64" t="s">
        <v>456</v>
      </c>
      <c r="R64" s="75"/>
    </row>
    <row r="66" spans="13:16">
      <c r="O66" t="s">
        <v>459</v>
      </c>
      <c r="P66" t="s">
        <v>458</v>
      </c>
    </row>
    <row r="67" spans="13:16">
      <c r="M67" t="s">
        <v>457</v>
      </c>
      <c r="N67" t="s">
        <v>417</v>
      </c>
      <c r="O67">
        <v>40</v>
      </c>
      <c r="P67">
        <v>90</v>
      </c>
    </row>
    <row r="68" spans="13:16">
      <c r="N68" t="s">
        <v>11</v>
      </c>
      <c r="O68">
        <f>O67*1000/(60*60)</f>
        <v>11.111111111111111</v>
      </c>
      <c r="P68">
        <f>P67*1000/(60*60)</f>
        <v>25</v>
      </c>
    </row>
    <row r="69" spans="13:16">
      <c r="N69" t="s">
        <v>460</v>
      </c>
      <c r="O69">
        <f>O67*100/1000</f>
        <v>4</v>
      </c>
      <c r="P69">
        <f>P67*100/1000</f>
        <v>9</v>
      </c>
    </row>
  </sheetData>
  <conditionalFormatting sqref="Q38">
    <cfRule type="expression" dxfId="3" priority="1">
      <formula>CellHasFormula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N77"/>
  <sheetViews>
    <sheetView tabSelected="1" topLeftCell="A49" workbookViewId="0">
      <selection activeCell="G76" sqref="G76"/>
    </sheetView>
  </sheetViews>
  <sheetFormatPr defaultRowHeight="15"/>
  <cols>
    <col min="1" max="1" width="38.5703125" bestFit="1" customWidth="1"/>
    <col min="2" max="2" width="12" bestFit="1" customWidth="1"/>
    <col min="3" max="3" width="10.85546875" bestFit="1" customWidth="1"/>
    <col min="5" max="5" width="132.7109375" customWidth="1"/>
    <col min="6" max="11" width="18.140625" customWidth="1"/>
    <col min="13" max="13" width="8.42578125" bestFit="1" customWidth="1"/>
  </cols>
  <sheetData>
    <row r="2" spans="1:11" s="6" customFormat="1" ht="18.75">
      <c r="A2" s="5" t="s">
        <v>67</v>
      </c>
      <c r="D2" s="5"/>
      <c r="E2" s="5" t="s">
        <v>68</v>
      </c>
    </row>
    <row r="4" spans="1:11">
      <c r="B4">
        <f>bes_energy_efficiency</f>
        <v>0.39</v>
      </c>
    </row>
    <row r="5" spans="1:11">
      <c r="B5">
        <f>bes_energy_efficiency -beccs_eff_penalty</f>
        <v>0.33</v>
      </c>
      <c r="E5" s="11" t="s">
        <v>166</v>
      </c>
    </row>
    <row r="6" spans="1:11">
      <c r="E6" t="s">
        <v>321</v>
      </c>
      <c r="F6">
        <f>bes_annual_cc</f>
        <v>31.054459723076409</v>
      </c>
      <c r="G6" t="s">
        <v>69</v>
      </c>
    </row>
    <row r="7" spans="1:11">
      <c r="A7" t="s">
        <v>118</v>
      </c>
      <c r="B7" s="2">
        <f>bm_lhv *(bes_energy_efficiency -beccs_eff_penalty)</f>
        <v>6.1920116210526324</v>
      </c>
      <c r="C7" t="s">
        <v>26</v>
      </c>
      <c r="E7" t="s">
        <v>322</v>
      </c>
      <c r="F7" s="2">
        <f>ccs_cc*bm_c</f>
        <v>243.50939743589743</v>
      </c>
      <c r="G7" t="s">
        <v>69</v>
      </c>
      <c r="H7" s="152" t="s">
        <v>323</v>
      </c>
      <c r="K7" t="s">
        <v>613</v>
      </c>
    </row>
    <row r="8" spans="1:11">
      <c r="A8" t="s">
        <v>23</v>
      </c>
      <c r="B8" s="2">
        <f>beccs_elec_prod * ff_c_intensity * rebound</f>
        <v>4.813257033431579E-2</v>
      </c>
      <c r="C8" t="s">
        <v>25</v>
      </c>
      <c r="E8" t="s">
        <v>164</v>
      </c>
      <c r="F8" s="2">
        <f>(bes_cc)*O_M_factor</f>
        <v>27.739147899919889</v>
      </c>
      <c r="G8" t="s">
        <v>69</v>
      </c>
      <c r="H8" t="s">
        <v>611</v>
      </c>
      <c r="K8" s="10">
        <v>0.75</v>
      </c>
    </row>
    <row r="9" spans="1:11" ht="15.75" thickBot="1">
      <c r="A9" t="s">
        <v>196</v>
      </c>
      <c r="B9" s="2">
        <f>bm_c*beccs_seq_fraction</f>
        <v>0.44400000000000006</v>
      </c>
      <c r="C9" t="s">
        <v>25</v>
      </c>
      <c r="E9" t="s">
        <v>169</v>
      </c>
      <c r="F9" s="62"/>
      <c r="G9" t="s">
        <v>170</v>
      </c>
      <c r="H9" t="s">
        <v>612</v>
      </c>
      <c r="I9" s="10">
        <f>AVERAGE(K8:K12)</f>
        <v>0.78600000000000003</v>
      </c>
      <c r="K9" s="10">
        <v>0.96</v>
      </c>
    </row>
    <row r="10" spans="1:11" ht="15.75" thickBot="1">
      <c r="A10" t="s">
        <v>126</v>
      </c>
      <c r="B10" s="2">
        <f>B8+B9</f>
        <v>0.49213257033431584</v>
      </c>
      <c r="C10" t="s">
        <v>25</v>
      </c>
      <c r="E10" s="12" t="s">
        <v>171</v>
      </c>
      <c r="F10" s="73">
        <f>SUM(F6:F9)</f>
        <v>302.30300505889375</v>
      </c>
      <c r="G10" s="14" t="s">
        <v>170</v>
      </c>
      <c r="K10" s="10">
        <v>0.38</v>
      </c>
    </row>
    <row r="11" spans="1:11">
      <c r="K11" s="10">
        <v>0.93</v>
      </c>
    </row>
    <row r="12" spans="1:11">
      <c r="B12">
        <f>B9/bebcs_direct_ghg</f>
        <v>1.4580027122214718</v>
      </c>
      <c r="K12" s="10">
        <v>0.91</v>
      </c>
    </row>
    <row r="13" spans="1:11">
      <c r="E13" s="11" t="s">
        <v>167</v>
      </c>
    </row>
    <row r="14" spans="1:11">
      <c r="E14" t="s">
        <v>127</v>
      </c>
      <c r="F14" s="2">
        <f>beccs_tot_c_abatement*c_price</f>
        <v>824.8141878803134</v>
      </c>
      <c r="G14" t="s">
        <v>128</v>
      </c>
    </row>
    <row r="15" spans="1:11" ht="15.75" thickBot="1">
      <c r="E15" t="s">
        <v>142</v>
      </c>
      <c r="F15" s="2">
        <f>bes!F14</f>
        <v>929.7510348304171</v>
      </c>
      <c r="G15" t="s">
        <v>128</v>
      </c>
      <c r="H15" t="s">
        <v>614</v>
      </c>
    </row>
    <row r="16" spans="1:11" ht="15.75" thickBot="1">
      <c r="E16" s="12" t="s">
        <v>143</v>
      </c>
      <c r="F16" s="73">
        <f>F15+F14</f>
        <v>1754.5652227107305</v>
      </c>
      <c r="G16" s="14" t="s">
        <v>128</v>
      </c>
    </row>
    <row r="18" spans="2:14">
      <c r="B18">
        <f>1.7*beccs_elec_prod</f>
        <v>10.526419755789474</v>
      </c>
      <c r="E18" s="11" t="s">
        <v>168</v>
      </c>
    </row>
    <row r="19" spans="2:14">
      <c r="B19">
        <f>B18*1.4</f>
        <v>14.736987658105264</v>
      </c>
      <c r="C19" t="s">
        <v>69</v>
      </c>
      <c r="E19" s="16" t="s">
        <v>165</v>
      </c>
      <c r="F19" s="53">
        <f>F16-F10</f>
        <v>1452.2622176518366</v>
      </c>
      <c r="G19" s="16" t="s">
        <v>128</v>
      </c>
    </row>
    <row r="20" spans="2:14" ht="15.75" thickBot="1">
      <c r="B20">
        <f>B19/(0.8*0.9)</f>
        <v>20.468038414035085</v>
      </c>
      <c r="C20" t="s">
        <v>508</v>
      </c>
      <c r="E20" s="15" t="s">
        <v>172</v>
      </c>
      <c r="F20" s="2">
        <f>MAX(bes_net_value,bebcs_net_value)</f>
        <v>1288.2417707458153</v>
      </c>
      <c r="G20" t="s">
        <v>170</v>
      </c>
    </row>
    <row r="21" spans="2:14" ht="15.75" thickBot="1">
      <c r="B21">
        <f>B20*44/12</f>
        <v>75.049474184795315</v>
      </c>
      <c r="C21" t="s">
        <v>509</v>
      </c>
      <c r="E21" s="28" t="s">
        <v>197</v>
      </c>
      <c r="F21" s="73">
        <f>IF(beccs_available,beccs_net_value-F20,-1000000)</f>
        <v>164.02044690602133</v>
      </c>
      <c r="G21" s="14" t="s">
        <v>170</v>
      </c>
      <c r="M21">
        <v>700</v>
      </c>
      <c r="N21" t="s">
        <v>512</v>
      </c>
    </row>
    <row r="22" spans="2:14">
      <c r="M22">
        <f>M21/bes_energy_efficiency</f>
        <v>1794.8717948717949</v>
      </c>
      <c r="N22" t="s">
        <v>513</v>
      </c>
    </row>
    <row r="24" spans="2:14">
      <c r="E24" t="s">
        <v>243</v>
      </c>
    </row>
    <row r="25" spans="2:14">
      <c r="E25" s="64" t="s">
        <v>242</v>
      </c>
    </row>
    <row r="26" spans="2:14">
      <c r="E26" s="65" t="s">
        <v>245</v>
      </c>
      <c r="F26" s="65" t="s">
        <v>296</v>
      </c>
      <c r="G26" s="65"/>
      <c r="H26" s="65"/>
    </row>
    <row r="27" spans="2:14">
      <c r="E27" s="65"/>
      <c r="F27" s="66" t="s">
        <v>294</v>
      </c>
      <c r="G27" s="66" t="s">
        <v>295</v>
      </c>
      <c r="H27" s="66" t="s">
        <v>293</v>
      </c>
    </row>
    <row r="28" spans="2:14">
      <c r="E28" s="65" t="s">
        <v>255</v>
      </c>
      <c r="F28" s="65" t="s">
        <v>256</v>
      </c>
      <c r="G28" s="65" t="s">
        <v>257</v>
      </c>
      <c r="H28" s="65" t="s">
        <v>258</v>
      </c>
    </row>
    <row r="29" spans="2:14">
      <c r="E29" s="67" t="s">
        <v>244</v>
      </c>
      <c r="F29" s="65"/>
      <c r="G29" s="65"/>
      <c r="H29" s="65"/>
    </row>
    <row r="30" spans="2:14">
      <c r="E30" s="65" t="s">
        <v>259</v>
      </c>
      <c r="F30" s="65" t="s">
        <v>260</v>
      </c>
      <c r="G30" s="68">
        <v>41965</v>
      </c>
      <c r="H30" s="65" t="s">
        <v>261</v>
      </c>
    </row>
    <row r="31" spans="2:14">
      <c r="E31" s="65" t="s">
        <v>262</v>
      </c>
      <c r="F31" s="65" t="s">
        <v>263</v>
      </c>
      <c r="G31" s="65" t="s">
        <v>264</v>
      </c>
      <c r="H31" s="65" t="s">
        <v>265</v>
      </c>
    </row>
    <row r="32" spans="2:14">
      <c r="E32" s="65" t="s">
        <v>266</v>
      </c>
      <c r="F32" s="65" t="s">
        <v>267</v>
      </c>
      <c r="G32" s="65" t="s">
        <v>268</v>
      </c>
      <c r="H32" s="65" t="s">
        <v>269</v>
      </c>
    </row>
    <row r="33" spans="5:11">
      <c r="E33" s="65" t="s">
        <v>270</v>
      </c>
      <c r="F33" s="65" t="s">
        <v>271</v>
      </c>
      <c r="G33" s="65" t="s">
        <v>272</v>
      </c>
      <c r="H33" s="65" t="s">
        <v>273</v>
      </c>
    </row>
    <row r="34" spans="5:11">
      <c r="E34" s="67" t="s">
        <v>274</v>
      </c>
      <c r="F34" s="65"/>
      <c r="G34" s="65"/>
      <c r="H34" s="65"/>
    </row>
    <row r="35" spans="5:11">
      <c r="E35" s="65" t="s">
        <v>275</v>
      </c>
      <c r="F35" s="65" t="s">
        <v>276</v>
      </c>
      <c r="G35" s="65" t="s">
        <v>277</v>
      </c>
      <c r="H35" s="65" t="s">
        <v>278</v>
      </c>
    </row>
    <row r="36" spans="5:11">
      <c r="E36" s="65" t="s">
        <v>279</v>
      </c>
      <c r="F36" s="65" t="s">
        <v>280</v>
      </c>
      <c r="G36" s="68">
        <v>42002</v>
      </c>
      <c r="H36" s="69">
        <v>11963</v>
      </c>
    </row>
    <row r="37" spans="5:11">
      <c r="E37" s="65" t="s">
        <v>281</v>
      </c>
      <c r="F37" s="65" t="s">
        <v>282</v>
      </c>
      <c r="G37" s="65" t="s">
        <v>283</v>
      </c>
      <c r="H37" s="65" t="s">
        <v>284</v>
      </c>
    </row>
    <row r="38" spans="5:11">
      <c r="E38" s="65" t="s">
        <v>285</v>
      </c>
      <c r="F38" s="65" t="s">
        <v>286</v>
      </c>
      <c r="G38" s="65" t="s">
        <v>287</v>
      </c>
      <c r="H38" s="65" t="s">
        <v>288</v>
      </c>
    </row>
    <row r="39" spans="5:11">
      <c r="E39" s="65" t="s">
        <v>289</v>
      </c>
      <c r="F39" s="157" t="s">
        <v>290</v>
      </c>
      <c r="G39" s="157" t="s">
        <v>291</v>
      </c>
      <c r="H39" s="157" t="s">
        <v>292</v>
      </c>
    </row>
    <row r="40" spans="5:11">
      <c r="E40" s="65"/>
      <c r="F40" s="65"/>
      <c r="G40" s="65"/>
      <c r="H40" s="65"/>
    </row>
    <row r="41" spans="5:11">
      <c r="E41" s="67"/>
      <c r="F41" s="65"/>
      <c r="G41" s="65"/>
      <c r="H41" s="65"/>
    </row>
    <row r="42" spans="5:11">
      <c r="E42" s="65" t="s">
        <v>510</v>
      </c>
      <c r="F42" s="65"/>
      <c r="G42" s="65"/>
      <c r="H42" s="65"/>
      <c r="I42" s="65"/>
      <c r="J42" s="65"/>
      <c r="K42" s="65"/>
    </row>
    <row r="43" spans="5:11">
      <c r="E43" s="65"/>
      <c r="F43" s="65" t="s">
        <v>294</v>
      </c>
      <c r="G43" s="65"/>
      <c r="H43" s="65" t="s">
        <v>295</v>
      </c>
      <c r="I43" s="65"/>
      <c r="J43" s="65" t="s">
        <v>293</v>
      </c>
      <c r="K43" s="65"/>
    </row>
    <row r="44" spans="5:11">
      <c r="E44" s="65"/>
      <c r="F44" s="65" t="s">
        <v>301</v>
      </c>
      <c r="G44" s="65" t="s">
        <v>302</v>
      </c>
      <c r="H44" s="65" t="s">
        <v>301</v>
      </c>
      <c r="I44" s="65" t="s">
        <v>302</v>
      </c>
      <c r="J44" s="65" t="s">
        <v>301</v>
      </c>
      <c r="K44" s="65" t="s">
        <v>302</v>
      </c>
    </row>
    <row r="45" spans="5:11">
      <c r="E45" s="65" t="s">
        <v>300</v>
      </c>
      <c r="F45" s="65">
        <f>110*AVERAGE(620,700)/AVERAGE(820,970)</f>
        <v>81.117318435754186</v>
      </c>
      <c r="G45" s="65">
        <f>260*AVERAGE(620,700)/AVERAGE(820,970)</f>
        <v>191.73184357541899</v>
      </c>
      <c r="H45" s="65">
        <f>140*AVERAGE(300,320)/AVERAGE(360,410)</f>
        <v>112.72727272727273</v>
      </c>
      <c r="I45" s="65">
        <f>330*AVERAGE(300,320)/AVERAGE(360,410)</f>
        <v>265.71428571428572</v>
      </c>
      <c r="J45" s="65">
        <f>51*AVERAGE(590,730)/AVERAGE(670,940)</f>
        <v>41.813664596273291</v>
      </c>
      <c r="K45" s="65">
        <f>200*AVERAGE(590,730)/AVERAGE(670,940)</f>
        <v>163.9751552795031</v>
      </c>
    </row>
    <row r="46" spans="5:11">
      <c r="E46" s="65" t="s">
        <v>303</v>
      </c>
      <c r="F46" s="65">
        <f>F45*12/44</f>
        <v>22.122905027932958</v>
      </c>
      <c r="G46" s="65">
        <f t="shared" ref="G46:K46" si="0">G45*12/44</f>
        <v>52.290502793296085</v>
      </c>
      <c r="H46" s="65">
        <f t="shared" si="0"/>
        <v>30.743801652892561</v>
      </c>
      <c r="I46" s="65">
        <f t="shared" si="0"/>
        <v>72.467532467532465</v>
      </c>
      <c r="J46" s="65">
        <f t="shared" si="0"/>
        <v>11.403726708074533</v>
      </c>
      <c r="K46" s="65">
        <f t="shared" si="0"/>
        <v>44.720496894409933</v>
      </c>
    </row>
    <row r="47" spans="5:11">
      <c r="E47" s="65"/>
      <c r="F47" s="65"/>
      <c r="G47" s="65"/>
      <c r="H47" s="65"/>
    </row>
    <row r="50" spans="4:11" ht="15.75" thickBot="1">
      <c r="F50" s="192" t="s">
        <v>589</v>
      </c>
      <c r="G50" s="35"/>
      <c r="H50" s="35"/>
      <c r="I50" s="35"/>
      <c r="J50" s="35"/>
      <c r="K50" s="35"/>
    </row>
    <row r="51" spans="4:11" ht="36" customHeight="1">
      <c r="D51" s="1"/>
      <c r="E51" s="1"/>
      <c r="F51" s="218" t="s">
        <v>303</v>
      </c>
      <c r="G51" s="218"/>
      <c r="H51" s="217" t="s">
        <v>592</v>
      </c>
      <c r="I51" s="217"/>
      <c r="J51" s="216" t="s">
        <v>593</v>
      </c>
      <c r="K51" s="216"/>
    </row>
    <row r="52" spans="4:11">
      <c r="D52" s="193" t="s">
        <v>594</v>
      </c>
      <c r="E52" s="193" t="s">
        <v>596</v>
      </c>
      <c r="F52" s="186" t="s">
        <v>365</v>
      </c>
      <c r="G52" s="186" t="s">
        <v>366</v>
      </c>
      <c r="H52" s="187" t="s">
        <v>365</v>
      </c>
      <c r="I52" s="187" t="s">
        <v>366</v>
      </c>
      <c r="J52" s="188" t="s">
        <v>365</v>
      </c>
      <c r="K52" s="188" t="s">
        <v>366</v>
      </c>
    </row>
    <row r="53" spans="4:11">
      <c r="D53" s="194">
        <v>2</v>
      </c>
      <c r="E53" s="194" t="s">
        <v>591</v>
      </c>
      <c r="F53" s="66">
        <v>36</v>
      </c>
      <c r="G53" s="66">
        <v>53</v>
      </c>
      <c r="H53" s="184">
        <v>86</v>
      </c>
      <c r="I53" s="184">
        <v>88</v>
      </c>
      <c r="J53" s="185">
        <v>21</v>
      </c>
      <c r="K53" s="185">
        <v>44</v>
      </c>
    </row>
    <row r="54" spans="4:11">
      <c r="D54" s="194">
        <v>3</v>
      </c>
      <c r="E54" s="194" t="s">
        <v>590</v>
      </c>
      <c r="F54" s="66">
        <v>48</v>
      </c>
      <c r="G54" s="66">
        <v>111</v>
      </c>
      <c r="H54" s="184">
        <v>88</v>
      </c>
      <c r="I54" s="184">
        <v>89</v>
      </c>
      <c r="J54" s="185">
        <v>13</v>
      </c>
      <c r="K54" s="185">
        <v>18</v>
      </c>
    </row>
    <row r="55" spans="4:11">
      <c r="D55" s="194">
        <v>4</v>
      </c>
      <c r="E55" s="194" t="s">
        <v>587</v>
      </c>
      <c r="F55" s="66">
        <v>28</v>
      </c>
      <c r="G55" s="66">
        <v>41</v>
      </c>
      <c r="H55" s="184">
        <v>82</v>
      </c>
      <c r="I55" s="184">
        <v>88</v>
      </c>
      <c r="J55" s="185">
        <v>20</v>
      </c>
      <c r="K55" s="185">
        <v>35</v>
      </c>
    </row>
    <row r="56" spans="4:11">
      <c r="D56" s="194">
        <v>5</v>
      </c>
      <c r="E56" s="194" t="s">
        <v>595</v>
      </c>
      <c r="F56" s="66">
        <v>42</v>
      </c>
      <c r="G56" s="66">
        <v>87</v>
      </c>
      <c r="H56" s="184">
        <v>82</v>
      </c>
      <c r="I56" s="184">
        <v>88</v>
      </c>
      <c r="J56" s="185">
        <v>21</v>
      </c>
      <c r="K56" s="185">
        <v>30</v>
      </c>
    </row>
    <row r="57" spans="4:11" ht="15.75" thickBot="1">
      <c r="D57" s="195">
        <v>6</v>
      </c>
      <c r="E57" s="195" t="s">
        <v>588</v>
      </c>
      <c r="F57" s="189">
        <v>36</v>
      </c>
      <c r="G57" s="189">
        <v>67</v>
      </c>
      <c r="H57" s="190">
        <v>90</v>
      </c>
      <c r="I57" s="190">
        <v>98</v>
      </c>
      <c r="J57" s="191">
        <v>24</v>
      </c>
      <c r="K57" s="191">
        <v>29</v>
      </c>
    </row>
    <row r="59" spans="4:11">
      <c r="E59" s="196" t="s">
        <v>597</v>
      </c>
      <c r="F59">
        <f>MIN(F53:F57)</f>
        <v>28</v>
      </c>
      <c r="G59">
        <f>MAX(G53:G57)</f>
        <v>111</v>
      </c>
      <c r="H59">
        <f>MIN(H53:H57)</f>
        <v>82</v>
      </c>
      <c r="I59">
        <f>MAX(I53:I57)</f>
        <v>98</v>
      </c>
      <c r="J59">
        <f>MIN(J53:J57)</f>
        <v>13</v>
      </c>
      <c r="K59">
        <f>MAX(K53:K57)</f>
        <v>44</v>
      </c>
    </row>
    <row r="60" spans="4:11">
      <c r="E60" s="196" t="s">
        <v>602</v>
      </c>
      <c r="F60">
        <f>F59</f>
        <v>28</v>
      </c>
      <c r="G60">
        <f>G59*85/65</f>
        <v>145.15384615384616</v>
      </c>
    </row>
    <row r="61" spans="4:11">
      <c r="E61" s="196" t="s">
        <v>603</v>
      </c>
      <c r="F61">
        <f>F60</f>
        <v>28</v>
      </c>
      <c r="G61">
        <f>G60*1.2</f>
        <v>174.1846153846154</v>
      </c>
    </row>
    <row r="64" spans="4:11">
      <c r="E64" s="197" t="s">
        <v>600</v>
      </c>
      <c r="F64" s="197" t="s">
        <v>365</v>
      </c>
      <c r="G64" s="197" t="s">
        <v>366</v>
      </c>
    </row>
    <row r="65" spans="5:7">
      <c r="E65" s="198" t="s">
        <v>601</v>
      </c>
      <c r="F65" s="186">
        <v>1.3</v>
      </c>
      <c r="G65" s="186">
        <v>14.8</v>
      </c>
    </row>
    <row r="66" spans="5:7">
      <c r="E66" s="198" t="s">
        <v>598</v>
      </c>
      <c r="F66" s="186">
        <v>10</v>
      </c>
      <c r="G66" s="186">
        <v>500</v>
      </c>
    </row>
    <row r="67" spans="5:7">
      <c r="E67" s="198" t="s">
        <v>599</v>
      </c>
      <c r="F67" s="186">
        <f>F65*F66/250</f>
        <v>5.1999999999999998E-2</v>
      </c>
      <c r="G67" s="186">
        <f>G65*G66/250</f>
        <v>29.6</v>
      </c>
    </row>
    <row r="70" spans="5:7">
      <c r="E70" s="197" t="s">
        <v>606</v>
      </c>
      <c r="F70" s="197" t="s">
        <v>365</v>
      </c>
      <c r="G70" s="197" t="s">
        <v>366</v>
      </c>
    </row>
    <row r="71" spans="5:7">
      <c r="E71" s="198" t="s">
        <v>604</v>
      </c>
      <c r="F71" s="186">
        <v>1</v>
      </c>
      <c r="G71" s="186">
        <v>20</v>
      </c>
    </row>
    <row r="72" spans="5:7">
      <c r="E72" s="198" t="s">
        <v>605</v>
      </c>
      <c r="F72" s="199">
        <f>F71*140/120*1.38</f>
        <v>1.6099999999999999</v>
      </c>
      <c r="G72" s="199">
        <f>G71*140/120*1.38</f>
        <v>32.199999999999996</v>
      </c>
    </row>
    <row r="73" spans="5:7">
      <c r="E73" s="198"/>
      <c r="F73" s="186"/>
      <c r="G73" s="186"/>
    </row>
    <row r="75" spans="5:7">
      <c r="E75" s="200" t="s">
        <v>607</v>
      </c>
    </row>
    <row r="76" spans="5:7">
      <c r="E76" s="200" t="s">
        <v>608</v>
      </c>
      <c r="F76" s="201">
        <f>F61+F67+F72</f>
        <v>29.661999999999999</v>
      </c>
      <c r="G76" s="201">
        <f>G61+G67+G72</f>
        <v>235.98461538461538</v>
      </c>
    </row>
    <row r="77" spans="5:7">
      <c r="E77" s="200" t="s">
        <v>609</v>
      </c>
      <c r="F77" s="201">
        <f>F76*44/12</f>
        <v>108.76066666666667</v>
      </c>
      <c r="G77" s="201">
        <f>G76*44/12</f>
        <v>865.27692307692303</v>
      </c>
    </row>
  </sheetData>
  <mergeCells count="3">
    <mergeCell ref="J51:K51"/>
    <mergeCell ref="H51:I51"/>
    <mergeCell ref="F51:G51"/>
  </mergeCells>
  <hyperlinks>
    <hyperlink ref="E25" r:id="rId1"/>
  </hyperlinks>
  <pageMargins left="0.7" right="0.7" top="0.75" bottom="0.75" header="0.3" footer="0.3"/>
  <pageSetup orientation="portrait" r:id="rId2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01"/>
  <sheetViews>
    <sheetView zoomScale="85" zoomScaleNormal="85" workbookViewId="0">
      <pane ySplit="1" topLeftCell="A2" activePane="bottomLeft" state="frozen"/>
      <selection activeCell="N38" sqref="N38"/>
      <selection pane="bottomLeft" activeCell="J26" sqref="J26"/>
    </sheetView>
  </sheetViews>
  <sheetFormatPr defaultRowHeight="15"/>
  <cols>
    <col min="1" max="1" width="22.85546875" bestFit="1" customWidth="1"/>
    <col min="3" max="3" width="13.28515625" customWidth="1"/>
    <col min="5" max="5" width="38.5703125" bestFit="1" customWidth="1"/>
    <col min="6" max="6" width="13.5703125" customWidth="1"/>
    <col min="7" max="7" width="11.42578125" customWidth="1"/>
    <col min="9" max="9" width="36.140625" bestFit="1" customWidth="1"/>
    <col min="10" max="10" width="12.140625" customWidth="1"/>
    <col min="12" max="12" width="15" customWidth="1"/>
    <col min="13" max="13" width="27.140625" customWidth="1"/>
    <col min="14" max="14" width="17" customWidth="1"/>
    <col min="15" max="15" width="13.85546875" bestFit="1" customWidth="1"/>
    <col min="16" max="16" width="15" bestFit="1" customWidth="1"/>
  </cols>
  <sheetData>
    <row r="1" spans="1:20" ht="57" customHeight="1">
      <c r="A1" s="7" t="s">
        <v>30</v>
      </c>
      <c r="E1" s="8" t="s">
        <v>124</v>
      </c>
    </row>
    <row r="2" spans="1:20" s="6" customFormat="1" ht="18.75">
      <c r="A2" s="5" t="s">
        <v>66</v>
      </c>
      <c r="E2" s="5" t="s">
        <v>67</v>
      </c>
      <c r="H2" s="5"/>
      <c r="I2" s="5" t="s">
        <v>119</v>
      </c>
      <c r="M2" s="5" t="s">
        <v>68</v>
      </c>
    </row>
    <row r="4" spans="1:20">
      <c r="A4" t="s">
        <v>34</v>
      </c>
      <c r="B4" s="2">
        <f>0.1260917 +0.27332*lignin + 0.5391409*EXP(-0.004*py_temp)</f>
        <v>0.25416021452231119</v>
      </c>
      <c r="E4" t="s">
        <v>71</v>
      </c>
      <c r="F4">
        <v>250</v>
      </c>
      <c r="G4" t="s">
        <v>72</v>
      </c>
      <c r="I4" t="s">
        <v>122</v>
      </c>
      <c r="J4">
        <f>bc_o/bc_c * 12/16</f>
        <v>5.3264246041201835E-2</v>
      </c>
      <c r="M4" s="11" t="s">
        <v>166</v>
      </c>
    </row>
    <row r="5" spans="1:20">
      <c r="A5" t="s">
        <v>31</v>
      </c>
      <c r="B5" s="2">
        <f>0.99-0.78*EXP(-0.0042*py_temp)</f>
        <v>0.91257622378347636</v>
      </c>
      <c r="E5" t="s">
        <v>73</v>
      </c>
      <c r="F5">
        <v>250</v>
      </c>
      <c r="G5" t="s">
        <v>74</v>
      </c>
      <c r="I5" t="s">
        <v>123</v>
      </c>
      <c r="J5">
        <f>MAX(0.6-0.00079*py_temp,0)</f>
        <v>0.16549999999999998</v>
      </c>
      <c r="M5" t="s">
        <v>14</v>
      </c>
      <c r="N5" s="53">
        <f>bebcs_cc</f>
        <v>364.84535078346948</v>
      </c>
      <c r="O5" t="s">
        <v>24</v>
      </c>
      <c r="Q5" s="74" t="s">
        <v>384</v>
      </c>
      <c r="R5" s="74"/>
      <c r="S5" s="74"/>
    </row>
    <row r="6" spans="1:20">
      <c r="A6" t="s">
        <v>32</v>
      </c>
      <c r="B6" s="2">
        <f>-0.0041+0.1*EXP(-0.0024*py_temp)</f>
        <v>2.261353019658504E-2</v>
      </c>
      <c r="E6" t="s">
        <v>75</v>
      </c>
      <c r="F6">
        <f>bm_feed_rate*(1-bm_ash)</f>
        <v>236.25</v>
      </c>
      <c r="G6" t="s">
        <v>74</v>
      </c>
      <c r="I6" t="s">
        <v>125</v>
      </c>
      <c r="J6">
        <f>10 ^ (4.6 -  4.95 * J5 )</f>
        <v>6036.358157149245</v>
      </c>
      <c r="K6" t="s">
        <v>8</v>
      </c>
      <c r="M6" t="s">
        <v>13</v>
      </c>
      <c r="N6" s="2">
        <f>(1 - ( 1 /( (1+discount)^py_life) ) )  / discount</f>
        <v>22.331050151314557</v>
      </c>
      <c r="Q6" s="62" t="s">
        <v>324</v>
      </c>
      <c r="R6" s="62"/>
      <c r="S6" s="62"/>
      <c r="T6" s="62"/>
    </row>
    <row r="7" spans="1:20" ht="15.75" thickBot="1">
      <c r="A7" t="s">
        <v>33</v>
      </c>
      <c r="B7" s="2">
        <f>1-bc_c-bc_h</f>
        <v>6.4810246019938594E-2</v>
      </c>
      <c r="E7" t="s">
        <v>76</v>
      </c>
      <c r="F7">
        <f>IF(py_temp&gt;340, (654*(py_temp-332)^-0.56)/60, 12)</f>
        <v>0.534430039913383</v>
      </c>
      <c r="G7" t="s">
        <v>77</v>
      </c>
      <c r="I7" t="s">
        <v>191</v>
      </c>
      <c r="J7">
        <f>39810*10 ^ (- 4.95 * bc_oc )</f>
        <v>21693.726456008826</v>
      </c>
      <c r="K7" t="s">
        <v>8</v>
      </c>
      <c r="M7" t="s">
        <v>3</v>
      </c>
      <c r="N7" s="53">
        <f>bebcs_life_ratio*bes_life</f>
        <v>37.5</v>
      </c>
      <c r="O7" t="s">
        <v>8</v>
      </c>
      <c r="S7" s="74"/>
    </row>
    <row r="8" spans="1:20" ht="15.75" thickBot="1">
      <c r="A8" t="s">
        <v>64</v>
      </c>
      <c r="B8" s="2">
        <f>bc_y*bc_c</f>
        <v>0.23194056880476902</v>
      </c>
      <c r="C8" t="s">
        <v>25</v>
      </c>
      <c r="E8" t="s">
        <v>78</v>
      </c>
      <c r="F8">
        <f>F5*F7/F4</f>
        <v>0.534430039913383</v>
      </c>
      <c r="G8" t="s">
        <v>79</v>
      </c>
      <c r="I8" t="s">
        <v>538</v>
      </c>
      <c r="J8" s="180">
        <f>10^(bc_stab_factor*(1-J5))</f>
        <v>12042.176824603761</v>
      </c>
      <c r="K8" t="s">
        <v>8</v>
      </c>
      <c r="M8" t="s">
        <v>70</v>
      </c>
      <c r="N8" s="2">
        <f>py_cc/py_annuity</f>
        <v>16.338029260213371</v>
      </c>
      <c r="O8" t="s">
        <v>69</v>
      </c>
    </row>
    <row r="9" spans="1:20">
      <c r="E9" t="s">
        <v>57</v>
      </c>
      <c r="F9">
        <v>20</v>
      </c>
      <c r="I9" t="s">
        <v>144</v>
      </c>
      <c r="J9">
        <f>1000*EXP(-7*J4)</f>
        <v>688.76873165578479</v>
      </c>
      <c r="K9" t="s">
        <v>8</v>
      </c>
      <c r="M9" t="s">
        <v>164</v>
      </c>
      <c r="N9" s="2">
        <f>py_cc*O_M_factor</f>
        <v>14.593814031338781</v>
      </c>
      <c r="O9" t="s">
        <v>69</v>
      </c>
    </row>
    <row r="10" spans="1:20" ht="16.5" customHeight="1">
      <c r="A10" t="s">
        <v>39</v>
      </c>
      <c r="B10" s="2">
        <f>(B28-B26*32/12-B27*16/2)/(B13-B11*32/12-B12*16/2)</f>
        <v>0.31583842639179233</v>
      </c>
      <c r="E10" t="s">
        <v>80</v>
      </c>
      <c r="F10">
        <f>(F8/(PI()*F9))^(1/3)</f>
        <v>0.20412850946585614</v>
      </c>
      <c r="G10" t="s">
        <v>81</v>
      </c>
      <c r="I10" t="s">
        <v>21</v>
      </c>
      <c r="J10">
        <v>3</v>
      </c>
      <c r="K10" t="s">
        <v>8</v>
      </c>
      <c r="M10" t="s">
        <v>559</v>
      </c>
      <c r="N10" s="2">
        <f>bc_haul_cost+O98</f>
        <v>27.133834292387153</v>
      </c>
      <c r="O10" t="s">
        <v>69</v>
      </c>
    </row>
    <row r="11" spans="1:20" ht="15.75" thickBot="1">
      <c r="A11" t="s">
        <v>40</v>
      </c>
      <c r="B11" s="3">
        <f>1.25*constants!D12</f>
        <v>0.625</v>
      </c>
      <c r="E11" t="s">
        <v>82</v>
      </c>
      <c r="F11">
        <v>2.5000000000000001E-2</v>
      </c>
      <c r="G11" t="s">
        <v>81</v>
      </c>
      <c r="I11" t="s">
        <v>22</v>
      </c>
      <c r="J11">
        <v>0</v>
      </c>
      <c r="M11" t="s">
        <v>169</v>
      </c>
      <c r="O11" t="s">
        <v>170</v>
      </c>
    </row>
    <row r="12" spans="1:20" ht="15.75" thickBot="1">
      <c r="A12" t="s">
        <v>41</v>
      </c>
      <c r="B12" s="4">
        <f>1.26*constants!D13</f>
        <v>7.5600000000000001E-2</v>
      </c>
      <c r="E12" t="s">
        <v>83</v>
      </c>
      <c r="F12">
        <v>0.05</v>
      </c>
      <c r="G12" t="s">
        <v>81</v>
      </c>
      <c r="I12" t="str">
        <f>"bc frac remaining after " &amp; time_frame &amp; " years"</f>
        <v>bc frac remaining after 100 years</v>
      </c>
      <c r="J12" s="2">
        <f>EXP(-time_frame*(LN(2)/J8))</f>
        <v>0.99426053830193384</v>
      </c>
      <c r="M12" s="12" t="s">
        <v>171</v>
      </c>
      <c r="N12" s="73">
        <f>N8+N9+N10+N11</f>
        <v>58.065677583939305</v>
      </c>
      <c r="O12" s="14" t="s">
        <v>170</v>
      </c>
    </row>
    <row r="13" spans="1:20">
      <c r="A13" t="s">
        <v>42</v>
      </c>
      <c r="B13" s="2">
        <f>1-B11-B12</f>
        <v>0.2994</v>
      </c>
      <c r="E13" t="s">
        <v>84</v>
      </c>
      <c r="F13">
        <v>0.123</v>
      </c>
      <c r="G13" t="s">
        <v>85</v>
      </c>
    </row>
    <row r="14" spans="1:20">
      <c r="E14" t="s">
        <v>86</v>
      </c>
      <c r="F14">
        <f>F10*F9</f>
        <v>4.0825701893171225</v>
      </c>
      <c r="G14" t="s">
        <v>81</v>
      </c>
      <c r="I14" t="s">
        <v>129</v>
      </c>
      <c r="J14">
        <f>priming_factor*py_net_bc*(1-bc_lab_frac)</f>
        <v>3.4311628960512014E-2</v>
      </c>
      <c r="K14" t="s">
        <v>130</v>
      </c>
      <c r="M14" s="11" t="s">
        <v>167</v>
      </c>
    </row>
    <row r="15" spans="1:20">
      <c r="A15" t="s">
        <v>43</v>
      </c>
      <c r="B15" s="2">
        <f>(B27-B12*B10)/(2/18)</f>
        <v>0.23543604500151974</v>
      </c>
      <c r="E15" t="s">
        <v>87</v>
      </c>
      <c r="F15">
        <f>(2*PI()*F10*F14)+(2*PI()*(F10+F12+F11)^2)</f>
        <v>5.7257517399601152</v>
      </c>
      <c r="G15" t="s">
        <v>88</v>
      </c>
      <c r="M15" t="s">
        <v>127</v>
      </c>
      <c r="N15" s="2">
        <f>bebcs_tot_c_abatement*c_price</f>
        <v>544.9068861796992</v>
      </c>
      <c r="O15" t="s">
        <v>128</v>
      </c>
    </row>
    <row r="16" spans="1:20">
      <c r="A16" t="s">
        <v>110</v>
      </c>
      <c r="B16" s="2">
        <f>bm_h2o/(1-bm_h2o)</f>
        <v>0.33333333333333331</v>
      </c>
      <c r="C16" t="s">
        <v>109</v>
      </c>
      <c r="E16" t="s">
        <v>58</v>
      </c>
      <c r="F16">
        <v>40</v>
      </c>
      <c r="G16" t="s">
        <v>89</v>
      </c>
      <c r="M16" t="s">
        <v>141</v>
      </c>
      <c r="N16" s="2">
        <f>bc_y  * bc_price</f>
        <v>453.18733057585547</v>
      </c>
      <c r="O16" t="s">
        <v>128</v>
      </c>
    </row>
    <row r="17" spans="1:15" ht="15.75" thickBot="1">
      <c r="A17" t="s">
        <v>111</v>
      </c>
      <c r="B17" s="2">
        <f>B16+g_h2o_y</f>
        <v>0.56876937833485308</v>
      </c>
      <c r="E17" t="s">
        <v>91</v>
      </c>
      <c r="F17">
        <f>F13*(py_temp-F16)*F15/(F12*1000)</f>
        <v>7.1835281329539598</v>
      </c>
      <c r="G17" t="s">
        <v>90</v>
      </c>
      <c r="I17" t="s">
        <v>135</v>
      </c>
      <c r="J17" s="2">
        <f>n_app_rate*0.0125</f>
        <v>1.25</v>
      </c>
      <c r="K17" t="s">
        <v>471</v>
      </c>
      <c r="M17" t="s">
        <v>454</v>
      </c>
      <c r="N17" s="2">
        <f>py_elec_prod*elec_price</f>
        <v>348.21323157419988</v>
      </c>
      <c r="O17" t="s">
        <v>128</v>
      </c>
    </row>
    <row r="18" spans="1:15" ht="15.75" thickBot="1">
      <c r="I18" t="s">
        <v>136</v>
      </c>
      <c r="J18" s="2">
        <f>J17*(1-n2o_factor)</f>
        <v>1.2393162393162394</v>
      </c>
      <c r="K18" t="s">
        <v>471</v>
      </c>
      <c r="M18" s="12" t="s">
        <v>143</v>
      </c>
      <c r="N18" s="73">
        <f>N17+N16+N15</f>
        <v>1346.3074483297546</v>
      </c>
      <c r="O18" s="14" t="s">
        <v>128</v>
      </c>
    </row>
    <row r="19" spans="1:15">
      <c r="A19" t="s">
        <v>44</v>
      </c>
      <c r="B19" s="2">
        <f>0.029528*(1-EXP(-0.003496*(py_temp+273)))^62.980403</f>
        <v>7.6825722207149861E-4</v>
      </c>
      <c r="E19" t="s">
        <v>60</v>
      </c>
      <c r="F19">
        <v>170</v>
      </c>
      <c r="G19" t="s">
        <v>89</v>
      </c>
      <c r="I19" t="s">
        <v>138</v>
      </c>
      <c r="J19" s="2">
        <f>J17-J18</f>
        <v>1.0683760683760646E-2</v>
      </c>
      <c r="K19" t="s">
        <v>471</v>
      </c>
    </row>
    <row r="20" spans="1:15">
      <c r="A20" t="s">
        <v>45</v>
      </c>
      <c r="B20" s="2">
        <f xml:space="preserve"> (0.043)/(1+EXP(-0.03*(py_temp+273)+17.2)) + (0.36-0.043)/(1+EXP(-0.01*(py_temp+273)+10.9))</f>
        <v>6.3507120813082032E-2</v>
      </c>
      <c r="E20" t="s">
        <v>92</v>
      </c>
      <c r="F20">
        <v>8.5</v>
      </c>
      <c r="G20" t="s">
        <v>98</v>
      </c>
      <c r="I20" t="s">
        <v>138</v>
      </c>
      <c r="J20" s="2">
        <f>J19</f>
        <v>1.0683760683760646E-2</v>
      </c>
      <c r="K20" t="s">
        <v>504</v>
      </c>
      <c r="M20" s="11" t="s">
        <v>168</v>
      </c>
    </row>
    <row r="21" spans="1:15">
      <c r="A21" t="s">
        <v>46</v>
      </c>
      <c r="B21" s="2">
        <f>(B26-B11*B10)/(12/44)</f>
        <v>0.11467434184122043</v>
      </c>
      <c r="E21" t="s">
        <v>93</v>
      </c>
      <c r="F21">
        <f>F20/12</f>
        <v>0.70833333333333337</v>
      </c>
      <c r="G21" t="s">
        <v>103</v>
      </c>
      <c r="I21" t="s">
        <v>138</v>
      </c>
      <c r="J21" s="2">
        <f>J20*py_net_bc</f>
        <v>2.7153869072896399E-3</v>
      </c>
      <c r="K21" t="s">
        <v>505</v>
      </c>
      <c r="M21" s="16" t="s">
        <v>165</v>
      </c>
      <c r="N21" s="16">
        <f>bebcs_total_revenue - bebcs_total_cost</f>
        <v>1288.2417707458153</v>
      </c>
      <c r="O21" s="16" t="s">
        <v>128</v>
      </c>
    </row>
    <row r="22" spans="1:15" ht="15.75" thickBot="1">
      <c r="A22" t="s">
        <v>50</v>
      </c>
      <c r="B22" s="2">
        <f>0.07818*(1-EXP(-0.0033788*(py_temp+273)))^30.14865</f>
        <v>1.1354357733058285E-2</v>
      </c>
      <c r="E22" t="s">
        <v>94</v>
      </c>
      <c r="F22">
        <v>1.22</v>
      </c>
      <c r="G22" t="s">
        <v>65</v>
      </c>
      <c r="I22" t="s">
        <v>138</v>
      </c>
      <c r="J22" s="2">
        <f>J21*n2o_years</f>
        <v>0.13712703881812682</v>
      </c>
      <c r="K22" t="s">
        <v>472</v>
      </c>
      <c r="M22" s="15" t="s">
        <v>172</v>
      </c>
      <c r="N22">
        <f xml:space="preserve"> IF(beccs_available, MAX(bes_net_value,beccs_net_value), MAX(bes_net_value))</f>
        <v>1452.2622176518366</v>
      </c>
      <c r="O22" t="s">
        <v>170</v>
      </c>
    </row>
    <row r="23" spans="1:15" ht="15.75" thickBot="1">
      <c r="A23" t="s">
        <v>51</v>
      </c>
      <c r="B23" s="2">
        <f>0.035637*(1-EXP(-0.005221*(py_temp+273)))^154.974</f>
        <v>4.2612364749443753E-3</v>
      </c>
      <c r="E23" t="s">
        <v>95</v>
      </c>
      <c r="F23">
        <v>2E-3</v>
      </c>
      <c r="G23" t="s">
        <v>104</v>
      </c>
      <c r="I23" t="s">
        <v>131</v>
      </c>
      <c r="J23" s="2">
        <f>J22/1000 * 44/28 *gwp_n2o * 12/44</f>
        <v>1.7513081814772194E-2</v>
      </c>
      <c r="K23" t="s">
        <v>133</v>
      </c>
      <c r="M23" s="28" t="s">
        <v>197</v>
      </c>
      <c r="N23" s="13">
        <f>bebcs_net_value-N22</f>
        <v>-164.02044690602133</v>
      </c>
      <c r="O23" s="14" t="s">
        <v>170</v>
      </c>
    </row>
    <row r="24" spans="1:15">
      <c r="A24" t="s">
        <v>63</v>
      </c>
      <c r="B24" s="2">
        <f>SUM(B19:B23)</f>
        <v>0.19456531408437661</v>
      </c>
      <c r="E24" t="s">
        <v>96</v>
      </c>
      <c r="F24">
        <v>30</v>
      </c>
      <c r="G24" t="s">
        <v>98</v>
      </c>
    </row>
    <row r="25" spans="1:15">
      <c r="E25" t="s">
        <v>97</v>
      </c>
      <c r="F25">
        <f>F24/15</f>
        <v>2</v>
      </c>
      <c r="G25" t="s">
        <v>105</v>
      </c>
      <c r="I25" t="s">
        <v>534</v>
      </c>
      <c r="J25" s="9">
        <f>bc_yield_value*crop_price_increase</f>
        <v>52.545811499999992</v>
      </c>
      <c r="K25" t="s">
        <v>535</v>
      </c>
    </row>
    <row r="26" spans="1:15">
      <c r="A26" t="s">
        <v>47</v>
      </c>
      <c r="B26" s="2">
        <f>constants!D12-B4*B5-B20*12/28-B22*12/16-B23*24/28</f>
        <v>0.22867383699702123</v>
      </c>
      <c r="I26" t="s">
        <v>155</v>
      </c>
      <c r="J26" s="9">
        <f>J25/(discount+(LN(2)/J8))</f>
        <v>1748.1728914496291</v>
      </c>
      <c r="K26" t="s">
        <v>156</v>
      </c>
    </row>
    <row r="27" spans="1:15">
      <c r="A27" t="s">
        <v>48</v>
      </c>
      <c r="B27" s="2">
        <f>constants!D13-B6*B4-B19-B22*4/16-B23*4/28</f>
        <v>5.0036945590943911E-2</v>
      </c>
      <c r="E27" t="s">
        <v>35</v>
      </c>
      <c r="F27">
        <f>F17/(F6*1000/3600)</f>
        <v>0.10946328583548891</v>
      </c>
      <c r="G27" t="s">
        <v>59</v>
      </c>
    </row>
    <row r="28" spans="1:15">
      <c r="A28" t="s">
        <v>49</v>
      </c>
      <c r="B28" s="2">
        <f>constants!D14-B4*B7-B20*16/28</f>
        <v>0.38723803064656748</v>
      </c>
      <c r="E28" t="s">
        <v>36</v>
      </c>
      <c r="F28">
        <f>F21*(py_temp-20)*B4/1000</f>
        <v>9.5415980535250994E-2</v>
      </c>
      <c r="G28" t="s">
        <v>59</v>
      </c>
      <c r="I28" t="s">
        <v>158</v>
      </c>
      <c r="J28">
        <f>bm_ash/(bm_ash+bc_y)</f>
        <v>0.17790128682948889</v>
      </c>
    </row>
    <row r="29" spans="1:15">
      <c r="E29" t="s">
        <v>37</v>
      </c>
      <c r="F29">
        <f>B10*(F22+(F19-20)*F23)</f>
        <v>0.48007440811552432</v>
      </c>
      <c r="G29" t="s">
        <v>59</v>
      </c>
      <c r="I29" t="s">
        <v>160</v>
      </c>
      <c r="J29">
        <f xml:space="preserve"> (5.378+1.582*(bc_ash* bm_base/bm_ash)-0.2136*bc_ash) / 100</f>
        <v>5.4582050161542064E-2</v>
      </c>
    </row>
    <row r="30" spans="1:15">
      <c r="E30" t="s">
        <v>38</v>
      </c>
      <c r="F30">
        <f>g_cp*(py_ex_t-20)*g_y/1000</f>
        <v>5.836959422531298E-2</v>
      </c>
      <c r="G30" t="s">
        <v>59</v>
      </c>
      <c r="I30" t="s">
        <v>163</v>
      </c>
      <c r="J30">
        <f>J29*aglime_price</f>
        <v>2.4561922572693931</v>
      </c>
      <c r="K30" s="10" t="s">
        <v>10</v>
      </c>
    </row>
    <row r="31" spans="1:15">
      <c r="E31" t="s">
        <v>61</v>
      </c>
      <c r="F31">
        <f>(2.676 + 0.0021*(py_ex_t-100)) * py_tot_h2o</f>
        <v>1.6056359550392902</v>
      </c>
      <c r="G31" t="s">
        <v>59</v>
      </c>
      <c r="I31" t="s">
        <v>582</v>
      </c>
      <c r="J31">
        <f>bc_nutrient_value / bc_y</f>
        <v>32.448300877512551</v>
      </c>
      <c r="K31" t="s">
        <v>583</v>
      </c>
    </row>
    <row r="32" spans="1:15">
      <c r="E32" t="s">
        <v>100</v>
      </c>
      <c r="F32">
        <f>SUM(F27:F31)</f>
        <v>2.3489592237508674</v>
      </c>
      <c r="G32" t="s">
        <v>59</v>
      </c>
      <c r="I32" t="s">
        <v>541</v>
      </c>
      <c r="J32" s="183">
        <f>J26+J30+J31</f>
        <v>1783.077384584411</v>
      </c>
      <c r="K32" t="s">
        <v>156</v>
      </c>
    </row>
    <row r="34" spans="5:17">
      <c r="E34" s="1" t="s">
        <v>52</v>
      </c>
      <c r="F34">
        <f>100*(0.3491*bc_c+1.1783*bc_h-0.1034*bc_o)</f>
        <v>33.852450291498606</v>
      </c>
      <c r="G34" t="s">
        <v>65</v>
      </c>
      <c r="I34" t="s">
        <v>229</v>
      </c>
      <c r="J34">
        <f>J23+J14</f>
        <v>5.1824710775284208E-2</v>
      </c>
      <c r="K34" t="s">
        <v>133</v>
      </c>
    </row>
    <row r="35" spans="5:17">
      <c r="E35" s="1" t="s">
        <v>53</v>
      </c>
      <c r="F35">
        <f>100*(0.3491*B11+1.1783*B12-0.1034*B13)</f>
        <v>27.630901999999995</v>
      </c>
      <c r="G35" t="s">
        <v>65</v>
      </c>
      <c r="I35" t="s">
        <v>228</v>
      </c>
      <c r="J35">
        <f>bebcs_soil_feedback+J12*py_net_bc</f>
        <v>0.3045261824811723</v>
      </c>
      <c r="K35" t="s">
        <v>133</v>
      </c>
    </row>
    <row r="36" spans="5:17">
      <c r="E36" t="s">
        <v>62</v>
      </c>
      <c r="F36">
        <f>(g_h2_y*141.8 + g_ch4_y*55.5 + g_co_y*10.1 + g_c2h4_y * 50.33) / (g_y)</f>
        <v>8.197739087136851</v>
      </c>
      <c r="G36" t="s">
        <v>65</v>
      </c>
    </row>
    <row r="37" spans="5:17">
      <c r="E37" t="s">
        <v>192</v>
      </c>
      <c r="F37">
        <f>F36*g_y</f>
        <v>1.5949956802705523</v>
      </c>
      <c r="G37" t="s">
        <v>99</v>
      </c>
    </row>
    <row r="38" spans="5:17">
      <c r="E38" t="s">
        <v>193</v>
      </c>
      <c r="F38">
        <f>bo_hhv*bo_y</f>
        <v>8.7269006074658257</v>
      </c>
      <c r="G38" t="s">
        <v>99</v>
      </c>
      <c r="M38" s="67" t="s">
        <v>383</v>
      </c>
      <c r="N38" s="65"/>
      <c r="O38" s="65"/>
      <c r="P38" s="65"/>
      <c r="Q38" s="65"/>
    </row>
    <row r="39" spans="5:17">
      <c r="E39" t="s">
        <v>194</v>
      </c>
      <c r="F39">
        <f>bc_hhv*bc_y</f>
        <v>8.6039460281931621</v>
      </c>
      <c r="G39" t="s">
        <v>99</v>
      </c>
      <c r="M39" s="65">
        <v>10</v>
      </c>
      <c r="N39" s="65" t="s">
        <v>375</v>
      </c>
      <c r="O39" s="65" t="s">
        <v>376</v>
      </c>
      <c r="P39" s="65"/>
      <c r="Q39" s="65"/>
    </row>
    <row r="40" spans="5:17">
      <c r="E40" t="s">
        <v>195</v>
      </c>
      <c r="F40">
        <f>py_E_bo+py_E_g</f>
        <v>10.321896287736378</v>
      </c>
      <c r="G40" t="s">
        <v>99</v>
      </c>
      <c r="M40" s="65">
        <f>M39*24*365*0.92</f>
        <v>80592</v>
      </c>
      <c r="N40" s="65" t="s">
        <v>377</v>
      </c>
      <c r="O40" s="65" t="s">
        <v>376</v>
      </c>
      <c r="P40" s="65"/>
      <c r="Q40" s="65"/>
    </row>
    <row r="41" spans="5:17">
      <c r="M41" s="106">
        <v>14200000</v>
      </c>
      <c r="N41" s="65" t="s">
        <v>378</v>
      </c>
      <c r="O41" s="65" t="s">
        <v>379</v>
      </c>
      <c r="P41" s="65"/>
      <c r="Q41" s="65"/>
    </row>
    <row r="42" spans="5:17">
      <c r="E42" t="s">
        <v>102</v>
      </c>
      <c r="F42" s="2">
        <f xml:space="preserve"> py_heat_loss+py_E_g+py_E_bo+F39 - bm_lhv</f>
        <v>2.5111299607330366</v>
      </c>
      <c r="G42" t="s">
        <v>99</v>
      </c>
      <c r="M42" s="106">
        <v>9600000</v>
      </c>
      <c r="N42" s="65" t="s">
        <v>378</v>
      </c>
      <c r="O42" s="65" t="s">
        <v>380</v>
      </c>
      <c r="P42" s="65"/>
      <c r="Q42" s="65"/>
    </row>
    <row r="43" spans="5:17">
      <c r="E43" t="s">
        <v>106</v>
      </c>
      <c r="F43" s="2">
        <v>0.8</v>
      </c>
      <c r="M43" s="106">
        <f>M42+M41</f>
        <v>23800000</v>
      </c>
      <c r="N43" s="65" t="s">
        <v>378</v>
      </c>
      <c r="O43" s="65" t="s">
        <v>381</v>
      </c>
      <c r="P43" s="65"/>
      <c r="Q43" s="65"/>
    </row>
    <row r="44" spans="5:17">
      <c r="E44" t="s">
        <v>108</v>
      </c>
      <c r="F44" s="2">
        <f>F42/F43</f>
        <v>3.1389124509162958</v>
      </c>
      <c r="G44" t="s">
        <v>99</v>
      </c>
      <c r="M44" s="107">
        <f>M41/M40</f>
        <v>176.19614850109193</v>
      </c>
      <c r="N44" s="65" t="s">
        <v>382</v>
      </c>
      <c r="O44" s="65" t="s">
        <v>379</v>
      </c>
      <c r="P44" s="65"/>
      <c r="Q44" s="65"/>
    </row>
    <row r="45" spans="5:17">
      <c r="E45" t="s">
        <v>114</v>
      </c>
      <c r="F45" s="62">
        <f>0.07</f>
        <v>7.0000000000000007E-2</v>
      </c>
      <c r="G45" t="s">
        <v>26</v>
      </c>
      <c r="H45" t="s">
        <v>116</v>
      </c>
      <c r="M45" s="107">
        <f>M42/M40</f>
        <v>119.11852293031566</v>
      </c>
      <c r="N45" s="65" t="s">
        <v>382</v>
      </c>
      <c r="O45" s="65" t="s">
        <v>380</v>
      </c>
      <c r="P45" s="65"/>
      <c r="Q45" s="65"/>
    </row>
    <row r="46" spans="5:17">
      <c r="E46" t="s">
        <v>115</v>
      </c>
      <c r="F46" s="2">
        <f>F45/py_elec_eff</f>
        <v>0.15555555555555556</v>
      </c>
      <c r="G46" t="s">
        <v>26</v>
      </c>
      <c r="M46" s="107">
        <f>M43/M40</f>
        <v>295.31467143140759</v>
      </c>
      <c r="N46" s="65" t="s">
        <v>382</v>
      </c>
      <c r="O46" s="65" t="s">
        <v>381</v>
      </c>
      <c r="P46" s="65"/>
      <c r="Q46" s="65"/>
    </row>
    <row r="47" spans="5:17">
      <c r="E47" t="s">
        <v>117</v>
      </c>
      <c r="F47" s="2">
        <f>py_h_fuel_required+F46</f>
        <v>3.2944680064718512</v>
      </c>
      <c r="G47" t="s">
        <v>26</v>
      </c>
    </row>
    <row r="48" spans="5:17">
      <c r="M48" t="s">
        <v>402</v>
      </c>
    </row>
    <row r="49" spans="5:20">
      <c r="E49" t="s">
        <v>118</v>
      </c>
      <c r="F49" s="2">
        <f xml:space="preserve">   CHOOSE(py_e_source,   py_E_fuel-py_tot_fuel_required, py_E_fuel/(1 +  py_tot_fuel_required/bm_lhv), py_E_fuel)</f>
        <v>7.0274282812645268</v>
      </c>
      <c r="G49" t="s">
        <v>99</v>
      </c>
      <c r="M49" t="s">
        <v>403</v>
      </c>
    </row>
    <row r="50" spans="5:20">
      <c r="E50" t="s">
        <v>112</v>
      </c>
      <c r="F50" s="2">
        <f xml:space="preserve">   CHOOSE(py_e_source, bc_y,  bc_y/(1 +  py_tot_fuel_required/bm_lhv),  bc_y * (1 - py_tot_fuel_required/py_E_bc) )</f>
        <v>0.25416021452231119</v>
      </c>
      <c r="G50" t="s">
        <v>113</v>
      </c>
    </row>
    <row r="51" spans="5:20" ht="15.75" thickBot="1"/>
    <row r="52" spans="5:20">
      <c r="E52" t="s">
        <v>404</v>
      </c>
      <c r="F52" s="2">
        <f>py_net_fuel*bes_energy_efficiency</f>
        <v>2.7406970296931656</v>
      </c>
      <c r="G52" t="s">
        <v>405</v>
      </c>
      <c r="M52" s="97"/>
      <c r="N52" s="110" t="s">
        <v>410</v>
      </c>
      <c r="O52" s="98"/>
      <c r="P52" s="98"/>
      <c r="Q52" s="98"/>
      <c r="R52" s="98"/>
      <c r="S52" s="98"/>
      <c r="T52" s="99"/>
    </row>
    <row r="53" spans="5:20">
      <c r="E53" t="s">
        <v>23</v>
      </c>
      <c r="F53" s="2">
        <f>py_elec_prod * ff_c_intensity * rebound</f>
        <v>2.1304351577481537E-2</v>
      </c>
      <c r="G53" t="s">
        <v>25</v>
      </c>
      <c r="M53" s="100" t="s">
        <v>413</v>
      </c>
      <c r="N53" s="101">
        <f>2400*1.2</f>
        <v>2880</v>
      </c>
      <c r="O53" s="101" t="s">
        <v>411</v>
      </c>
      <c r="P53" s="101"/>
      <c r="Q53" s="101"/>
      <c r="R53" s="101"/>
      <c r="S53" s="101"/>
      <c r="T53" s="102"/>
    </row>
    <row r="54" spans="5:20">
      <c r="E54" t="s">
        <v>126</v>
      </c>
      <c r="F54" s="11">
        <f>J23+J14+J12*py_net_bc+F53-bc_haul_c</f>
        <v>0.32512344044134794</v>
      </c>
      <c r="G54" t="s">
        <v>25</v>
      </c>
      <c r="M54" s="100" t="s">
        <v>414</v>
      </c>
      <c r="N54" s="101">
        <f>4200*1.6</f>
        <v>6720</v>
      </c>
      <c r="O54" s="101" t="s">
        <v>412</v>
      </c>
      <c r="P54" s="101"/>
      <c r="Q54" s="101"/>
      <c r="R54" s="101"/>
      <c r="S54" s="101"/>
      <c r="T54" s="102"/>
    </row>
    <row r="55" spans="5:20">
      <c r="M55" s="100"/>
      <c r="N55" s="101"/>
      <c r="O55" s="101"/>
      <c r="P55" s="101"/>
      <c r="Q55" s="101"/>
      <c r="R55" s="101"/>
      <c r="S55" s="101"/>
      <c r="T55" s="102"/>
    </row>
    <row r="56" spans="5:20">
      <c r="F56" s="112" t="s">
        <v>406</v>
      </c>
      <c r="G56" s="112"/>
      <c r="H56" s="112"/>
      <c r="M56" s="100" t="s">
        <v>413</v>
      </c>
      <c r="N56" s="101">
        <f>2400*1.2</f>
        <v>2880</v>
      </c>
      <c r="O56" s="101" t="s">
        <v>411</v>
      </c>
      <c r="P56" s="101"/>
      <c r="Q56" s="101"/>
      <c r="R56" s="109"/>
      <c r="S56" s="101"/>
      <c r="T56" s="102"/>
    </row>
    <row r="57" spans="5:20">
      <c r="F57" s="112"/>
      <c r="G57" s="112">
        <v>1</v>
      </c>
      <c r="H57" s="112" t="s">
        <v>407</v>
      </c>
      <c r="M57" s="100" t="s">
        <v>414</v>
      </c>
      <c r="N57" s="101">
        <f>4200*1.6</f>
        <v>6720</v>
      </c>
      <c r="O57" s="101" t="s">
        <v>412</v>
      </c>
      <c r="P57" s="101"/>
      <c r="Q57" s="101"/>
      <c r="R57" s="109"/>
      <c r="S57" s="101"/>
      <c r="T57" s="102"/>
    </row>
    <row r="58" spans="5:20">
      <c r="F58" s="113" t="s">
        <v>385</v>
      </c>
      <c r="G58" s="112">
        <f>G57*py_elec_prod</f>
        <v>2.7406970296931656</v>
      </c>
      <c r="H58" s="112" t="s">
        <v>408</v>
      </c>
      <c r="M58" s="100"/>
      <c r="N58" s="101"/>
      <c r="O58" s="101"/>
      <c r="P58" s="101"/>
      <c r="Q58" s="101"/>
      <c r="R58" s="109"/>
      <c r="S58" s="101"/>
      <c r="T58" s="102"/>
    </row>
    <row r="59" spans="5:20">
      <c r="F59" s="113" t="s">
        <v>385</v>
      </c>
      <c r="G59" s="112">
        <f>G58*1000000/(365*24*60*60*capacity_factor)</f>
        <v>0.10224345023775501</v>
      </c>
      <c r="H59" s="112" t="s">
        <v>409</v>
      </c>
      <c r="M59" s="100" t="s">
        <v>365</v>
      </c>
      <c r="N59" s="101">
        <f>N53*$G$59</f>
        <v>294.46113668473441</v>
      </c>
      <c r="O59" s="101" t="s">
        <v>389</v>
      </c>
      <c r="P59" s="101"/>
      <c r="Q59" s="101"/>
      <c r="R59" s="109"/>
      <c r="S59" s="101"/>
      <c r="T59" s="102"/>
    </row>
    <row r="60" spans="5:20">
      <c r="M60" s="100" t="s">
        <v>366</v>
      </c>
      <c r="N60" s="101">
        <f>N54*$G$59</f>
        <v>687.07598559771361</v>
      </c>
      <c r="O60" s="101" t="s">
        <v>389</v>
      </c>
      <c r="P60" s="101"/>
      <c r="Q60" s="101"/>
      <c r="R60" s="101"/>
      <c r="S60" s="101"/>
      <c r="T60" s="102"/>
    </row>
    <row r="61" spans="5:20">
      <c r="F61" s="111" t="s">
        <v>423</v>
      </c>
      <c r="G61" s="111"/>
      <c r="H61" s="111"/>
      <c r="M61" s="100"/>
      <c r="N61" s="101"/>
      <c r="O61" s="101"/>
      <c r="P61" s="101"/>
      <c r="Q61" s="101"/>
      <c r="R61" s="101"/>
      <c r="S61" s="101"/>
      <c r="T61" s="102"/>
    </row>
    <row r="62" spans="5:20">
      <c r="F62" s="111">
        <v>60</v>
      </c>
      <c r="G62" s="111" t="s">
        <v>417</v>
      </c>
      <c r="H62" s="111"/>
      <c r="M62" s="100" t="s">
        <v>392</v>
      </c>
      <c r="N62" s="101">
        <f>N59*bes_cc_hi_2030/bes_cc_hi</f>
        <v>268.16996376645449</v>
      </c>
      <c r="O62" s="101" t="s">
        <v>389</v>
      </c>
      <c r="P62" s="101"/>
      <c r="Q62" s="101"/>
      <c r="R62" s="101"/>
      <c r="S62" s="101"/>
      <c r="T62" s="102"/>
    </row>
    <row r="63" spans="5:20">
      <c r="F63" s="111">
        <v>1</v>
      </c>
      <c r="G63" s="111" t="s">
        <v>418</v>
      </c>
      <c r="H63" s="111"/>
      <c r="M63" s="100" t="s">
        <v>393</v>
      </c>
      <c r="N63" s="101">
        <f>N60*bes_cc_lo_2030/bes_cc_lo</f>
        <v>461.52073780048443</v>
      </c>
      <c r="O63" s="101" t="s">
        <v>389</v>
      </c>
      <c r="P63" s="101"/>
      <c r="Q63" s="101"/>
      <c r="R63" s="101"/>
      <c r="S63" s="101"/>
      <c r="T63" s="102"/>
    </row>
    <row r="64" spans="5:20">
      <c r="F64" s="111">
        <f>F63*60*60</f>
        <v>3600</v>
      </c>
      <c r="G64" s="111" t="s">
        <v>419</v>
      </c>
      <c r="H64" s="111"/>
      <c r="M64" s="100"/>
      <c r="N64" s="101"/>
      <c r="O64" s="101"/>
      <c r="P64" s="101"/>
      <c r="Q64" s="101"/>
      <c r="R64" s="101"/>
      <c r="S64" s="101"/>
      <c r="T64" s="102"/>
    </row>
    <row r="65" spans="6:20">
      <c r="F65" s="111">
        <f>F64/1000</f>
        <v>3.6</v>
      </c>
      <c r="G65" s="111" t="s">
        <v>416</v>
      </c>
      <c r="H65" s="111"/>
      <c r="M65" s="100" t="s">
        <v>394</v>
      </c>
      <c r="N65" s="101">
        <f>N62</f>
        <v>268.16996376645449</v>
      </c>
      <c r="O65" s="101" t="s">
        <v>389</v>
      </c>
      <c r="P65" s="101"/>
      <c r="Q65" s="101"/>
      <c r="R65" s="101"/>
      <c r="S65" s="101"/>
      <c r="T65" s="102"/>
    </row>
    <row r="66" spans="6:20">
      <c r="F66" s="111">
        <f>F62/F65</f>
        <v>16.666666666666668</v>
      </c>
      <c r="G66" s="111" t="s">
        <v>11</v>
      </c>
      <c r="H66" s="111"/>
      <c r="M66" s="100" t="s">
        <v>395</v>
      </c>
      <c r="N66" s="101">
        <f>N63</f>
        <v>461.52073780048443</v>
      </c>
      <c r="O66" s="101" t="s">
        <v>389</v>
      </c>
      <c r="P66" s="101"/>
      <c r="Q66" s="101"/>
      <c r="R66" s="101"/>
      <c r="S66" s="101"/>
      <c r="T66" s="102"/>
    </row>
    <row r="67" spans="6:20">
      <c r="M67" s="100"/>
      <c r="N67" s="101"/>
      <c r="O67" s="101"/>
      <c r="P67" s="101"/>
      <c r="Q67" s="101"/>
      <c r="R67" s="101"/>
      <c r="S67" s="101"/>
      <c r="T67" s="102"/>
    </row>
    <row r="68" spans="6:20">
      <c r="M68" s="100" t="s">
        <v>396</v>
      </c>
      <c r="N68" s="101">
        <f>N65</f>
        <v>268.16996376645449</v>
      </c>
      <c r="O68" s="101" t="s">
        <v>389</v>
      </c>
      <c r="P68" s="101"/>
      <c r="Q68" s="101"/>
      <c r="R68" s="101"/>
      <c r="S68" s="101"/>
      <c r="T68" s="102"/>
    </row>
    <row r="69" spans="6:20" ht="19.5" thickBot="1">
      <c r="H69" s="153"/>
      <c r="I69" s="154" t="s">
        <v>493</v>
      </c>
      <c r="J69" s="153"/>
      <c r="K69" s="153"/>
      <c r="M69" s="103" t="s">
        <v>397</v>
      </c>
      <c r="N69" s="104">
        <f>N66</f>
        <v>461.52073780048443</v>
      </c>
      <c r="O69" s="104" t="s">
        <v>389</v>
      </c>
      <c r="P69" s="104"/>
      <c r="Q69" s="104"/>
      <c r="R69" s="104"/>
      <c r="S69" s="104"/>
      <c r="T69" s="105"/>
    </row>
    <row r="70" spans="6:20">
      <c r="H70" s="153"/>
      <c r="I70" s="153" t="s">
        <v>494</v>
      </c>
      <c r="J70" s="153"/>
      <c r="K70" s="153"/>
    </row>
    <row r="71" spans="6:20" ht="15.75" thickBot="1">
      <c r="H71" s="153"/>
      <c r="I71" s="153" t="s">
        <v>495</v>
      </c>
      <c r="J71" s="153"/>
      <c r="K71" s="153"/>
    </row>
    <row r="72" spans="6:20">
      <c r="H72" s="153"/>
      <c r="I72" s="153" t="s">
        <v>501</v>
      </c>
      <c r="J72" s="153"/>
      <c r="K72" s="153"/>
      <c r="M72" s="114" t="s">
        <v>426</v>
      </c>
      <c r="N72" s="115"/>
      <c r="O72" s="115"/>
      <c r="P72" s="116"/>
    </row>
    <row r="73" spans="6:20">
      <c r="H73" s="153"/>
      <c r="I73" s="153" t="s">
        <v>500</v>
      </c>
      <c r="J73" s="153"/>
      <c r="K73" s="153"/>
      <c r="M73" s="117" t="s">
        <v>450</v>
      </c>
      <c r="N73" s="118">
        <v>8.7799999999999994</v>
      </c>
      <c r="O73" s="118" t="s">
        <v>427</v>
      </c>
      <c r="P73" s="119"/>
    </row>
    <row r="74" spans="6:20">
      <c r="H74" s="153" t="s">
        <v>499</v>
      </c>
      <c r="I74" s="155">
        <f xml:space="preserve"> 0.25 /I78</f>
        <v>8.5470085470085479E-3</v>
      </c>
      <c r="J74" s="153" t="s">
        <v>498</v>
      </c>
      <c r="K74" s="153"/>
      <c r="M74" s="117"/>
      <c r="N74" s="118">
        <f>N73/14.8</f>
        <v>0.59324324324324318</v>
      </c>
      <c r="O74" s="118" t="s">
        <v>433</v>
      </c>
      <c r="P74" s="119"/>
    </row>
    <row r="75" spans="6:20">
      <c r="H75" s="153" t="s">
        <v>366</v>
      </c>
      <c r="I75" s="155">
        <f>0.45/I78</f>
        <v>1.5384615384615385E-2</v>
      </c>
      <c r="J75" s="153"/>
      <c r="K75" s="153"/>
      <c r="M75" s="117"/>
      <c r="N75" s="118"/>
      <c r="O75" s="118"/>
      <c r="P75" s="119"/>
    </row>
    <row r="76" spans="6:20" ht="30">
      <c r="H76" s="153" t="s">
        <v>365</v>
      </c>
      <c r="I76" s="155">
        <f xml:space="preserve"> 0.05/I78</f>
        <v>1.7094017094017094E-3</v>
      </c>
      <c r="J76" s="153"/>
      <c r="K76" s="153"/>
      <c r="M76" s="117"/>
      <c r="N76" s="118"/>
      <c r="O76" s="172" t="s">
        <v>439</v>
      </c>
      <c r="P76" s="173" t="s">
        <v>440</v>
      </c>
    </row>
    <row r="77" spans="6:20">
      <c r="H77" s="153"/>
      <c r="I77" s="161">
        <v>1.4999999999999999E-2</v>
      </c>
      <c r="J77" s="153" t="s">
        <v>496</v>
      </c>
      <c r="K77" s="153"/>
      <c r="M77" s="117" t="s">
        <v>434</v>
      </c>
      <c r="N77" s="118" t="s">
        <v>438</v>
      </c>
      <c r="O77" s="166">
        <v>10</v>
      </c>
      <c r="P77" s="167">
        <v>250</v>
      </c>
    </row>
    <row r="78" spans="6:20">
      <c r="H78" s="153"/>
      <c r="I78" s="153">
        <f>I77 * (1.3 *0.15*100*100)</f>
        <v>29.25</v>
      </c>
      <c r="J78" s="153" t="s">
        <v>497</v>
      </c>
      <c r="K78" s="153" t="s">
        <v>511</v>
      </c>
      <c r="M78" s="117" t="s">
        <v>435</v>
      </c>
      <c r="N78" s="118" t="s">
        <v>436</v>
      </c>
      <c r="O78" s="162">
        <v>0.9</v>
      </c>
      <c r="P78" s="163">
        <v>0.25</v>
      </c>
    </row>
    <row r="79" spans="6:20">
      <c r="M79" s="117" t="s">
        <v>437</v>
      </c>
      <c r="N79" s="118" t="s">
        <v>444</v>
      </c>
      <c r="O79" s="164">
        <v>2</v>
      </c>
      <c r="P79" s="165">
        <v>0.2</v>
      </c>
    </row>
    <row r="80" spans="6:20">
      <c r="M80" s="117" t="s">
        <v>445</v>
      </c>
      <c r="N80" s="118" t="s">
        <v>447</v>
      </c>
      <c r="O80" s="162">
        <v>0.5</v>
      </c>
      <c r="P80" s="163">
        <v>0.9</v>
      </c>
    </row>
    <row r="81" spans="5:16">
      <c r="F81" t="s">
        <v>576</v>
      </c>
      <c r="M81" s="117" t="s">
        <v>446</v>
      </c>
      <c r="N81" s="120" t="s">
        <v>517</v>
      </c>
      <c r="O81" s="168">
        <f>0.019*2.2/1000</f>
        <v>4.1800000000000006E-5</v>
      </c>
      <c r="P81" s="169">
        <f>2*0.019*2.2/1000</f>
        <v>8.3600000000000013E-5</v>
      </c>
    </row>
    <row r="82" spans="5:16">
      <c r="M82" s="117" t="s">
        <v>443</v>
      </c>
      <c r="N82" s="118" t="s">
        <v>372</v>
      </c>
      <c r="O82" s="166">
        <f>O77*capacity_factor*60*60*24*365/1000</f>
        <v>268056</v>
      </c>
      <c r="P82" s="167">
        <f>P77*capacity_factor*60*60*24*365/1000</f>
        <v>6701400</v>
      </c>
    </row>
    <row r="83" spans="5:16">
      <c r="F83" s="182" t="s">
        <v>564</v>
      </c>
      <c r="G83" s="182" t="s">
        <v>565</v>
      </c>
      <c r="H83" s="182" t="s">
        <v>566</v>
      </c>
      <c r="M83" s="117" t="s">
        <v>428</v>
      </c>
      <c r="N83" s="118" t="s">
        <v>377</v>
      </c>
      <c r="O83" s="166">
        <f>O82/bm_lhv</f>
        <v>14285.903420989091</v>
      </c>
      <c r="P83" s="167">
        <f>P82/bm_lhv</f>
        <v>357147.58552472724</v>
      </c>
    </row>
    <row r="84" spans="5:16">
      <c r="E84" s="182" t="s">
        <v>567</v>
      </c>
      <c r="F84">
        <v>855.14719653891598</v>
      </c>
      <c r="G84">
        <v>479.14644804473301</v>
      </c>
      <c r="H84">
        <v>653.54893885794604</v>
      </c>
      <c r="M84" s="117" t="s">
        <v>441</v>
      </c>
      <c r="N84" s="118" t="s">
        <v>377</v>
      </c>
      <c r="O84" s="166">
        <f>O83*0.24</f>
        <v>3428.6168210373817</v>
      </c>
      <c r="P84" s="167">
        <f>P83*0.24</f>
        <v>85715.420525934533</v>
      </c>
    </row>
    <row r="85" spans="5:16">
      <c r="E85" s="182" t="s">
        <v>568</v>
      </c>
      <c r="F85">
        <v>224.22100997201201</v>
      </c>
      <c r="G85">
        <v>247.90170537205</v>
      </c>
      <c r="H85">
        <v>180.352662561817</v>
      </c>
      <c r="M85" s="117" t="s">
        <v>442</v>
      </c>
      <c r="N85" s="118" t="s">
        <v>429</v>
      </c>
      <c r="O85" s="166">
        <f>O84/O79</f>
        <v>1714.3084105186908</v>
      </c>
      <c r="P85" s="167">
        <f>P84/P79</f>
        <v>428577.10262967262</v>
      </c>
    </row>
    <row r="86" spans="5:16">
      <c r="M86" s="117" t="s">
        <v>430</v>
      </c>
      <c r="N86" s="118" t="s">
        <v>429</v>
      </c>
      <c r="O86" s="166">
        <f>O85/O78</f>
        <v>1904.7871227985454</v>
      </c>
      <c r="P86" s="167">
        <f>P85/P78</f>
        <v>1714308.4105186905</v>
      </c>
    </row>
    <row r="87" spans="5:16">
      <c r="E87" s="182" t="s">
        <v>569</v>
      </c>
      <c r="F87">
        <v>0.13200000000000001</v>
      </c>
      <c r="M87" s="117" t="s">
        <v>430</v>
      </c>
      <c r="N87" s="118" t="s">
        <v>431</v>
      </c>
      <c r="O87" s="166">
        <f>O86*0.1*0.1</f>
        <v>19.047871227985457</v>
      </c>
      <c r="P87" s="167">
        <f>P86*0.1*0.1</f>
        <v>17143.084105186907</v>
      </c>
    </row>
    <row r="88" spans="5:16">
      <c r="E88" s="182" t="s">
        <v>570</v>
      </c>
      <c r="F88">
        <v>0.47</v>
      </c>
      <c r="M88" s="117" t="s">
        <v>449</v>
      </c>
      <c r="N88" s="118" t="s">
        <v>432</v>
      </c>
      <c r="O88" s="164">
        <f>SQRT(O87)/2</f>
        <v>2.1821933477573348</v>
      </c>
      <c r="P88" s="165">
        <f>SQRT(P87)/2</f>
        <v>65.46580043272003</v>
      </c>
    </row>
    <row r="89" spans="5:16">
      <c r="E89" s="182" t="s">
        <v>571</v>
      </c>
      <c r="F89">
        <v>0.52</v>
      </c>
      <c r="M89" s="117" t="s">
        <v>445</v>
      </c>
      <c r="N89" s="118" t="s">
        <v>69</v>
      </c>
      <c r="O89" s="162">
        <f>O88*bc_y*O80</f>
        <v>0.27731336469758233</v>
      </c>
      <c r="P89" s="163">
        <f>P88*bc_y*P80</f>
        <v>14.974921693669442</v>
      </c>
    </row>
    <row r="90" spans="5:16">
      <c r="M90" s="117" t="s">
        <v>446</v>
      </c>
      <c r="N90" s="118" t="s">
        <v>448</v>
      </c>
      <c r="O90" s="168">
        <f>O88*O81*bc_y</f>
        <v>2.3183397288717886E-5</v>
      </c>
      <c r="P90" s="169">
        <f>P88*P81*bc_y</f>
        <v>1.3910038373230727E-3</v>
      </c>
    </row>
    <row r="91" spans="5:16" ht="15.75" thickBot="1">
      <c r="M91" s="121" t="s">
        <v>446</v>
      </c>
      <c r="N91" s="122" t="s">
        <v>451</v>
      </c>
      <c r="O91" s="170">
        <f>O90*44/12</f>
        <v>8.5005790058632249E-5</v>
      </c>
      <c r="P91" s="171">
        <f>P90*44/12</f>
        <v>5.1003474035179333E-3</v>
      </c>
    </row>
    <row r="92" spans="5:16">
      <c r="F92" t="s">
        <v>573</v>
      </c>
      <c r="G92" t="s">
        <v>574</v>
      </c>
      <c r="H92" t="s">
        <v>575</v>
      </c>
    </row>
    <row r="93" spans="5:16">
      <c r="E93" s="182" t="s">
        <v>572</v>
      </c>
      <c r="F93">
        <f>F84/F87</f>
        <v>6478.3878525675445</v>
      </c>
      <c r="G93">
        <v>0</v>
      </c>
      <c r="H93">
        <f>H84/F89</f>
        <v>1256.8248824191269</v>
      </c>
      <c r="O93" s="9">
        <f>O90*1000</f>
        <v>2.3183397288717884E-2</v>
      </c>
      <c r="P93" s="9">
        <f>P90*1000</f>
        <v>1.3910038373230726</v>
      </c>
    </row>
    <row r="94" spans="5:16">
      <c r="E94" s="182" t="s">
        <v>543</v>
      </c>
      <c r="F94">
        <f>F85/F87</f>
        <v>1698.6440149394848</v>
      </c>
      <c r="G94">
        <v>0</v>
      </c>
      <c r="H94">
        <f>H85/F89</f>
        <v>346.83204338810958</v>
      </c>
    </row>
    <row r="95" spans="5:16" ht="15.75" thickBot="1"/>
    <row r="96" spans="5:16">
      <c r="M96" s="97" t="s">
        <v>558</v>
      </c>
      <c r="N96" s="98" t="s">
        <v>557</v>
      </c>
      <c r="O96" s="99">
        <f>bc_field_cost</f>
        <v>87.808000000000007</v>
      </c>
    </row>
    <row r="97" spans="5:15">
      <c r="F97" t="s">
        <v>560</v>
      </c>
      <c r="G97" t="s">
        <v>561</v>
      </c>
      <c r="H97" t="s">
        <v>562</v>
      </c>
      <c r="M97" s="100"/>
      <c r="N97" s="101" t="s">
        <v>427</v>
      </c>
      <c r="O97" s="102">
        <f>O96/bc_app_rate</f>
        <v>5.0176000000000007</v>
      </c>
    </row>
    <row r="98" spans="5:15" ht="15.75" thickBot="1">
      <c r="E98" s="182" t="s">
        <v>577</v>
      </c>
      <c r="F98">
        <v>800</v>
      </c>
      <c r="G98">
        <v>5000</v>
      </c>
      <c r="H98">
        <v>9000</v>
      </c>
      <c r="M98" s="103"/>
      <c r="N98" s="104" t="s">
        <v>69</v>
      </c>
      <c r="O98" s="105">
        <f>O97*bc_y</f>
        <v>1.2752742923871487</v>
      </c>
    </row>
    <row r="99" spans="5:15">
      <c r="E99" s="182" t="s">
        <v>563</v>
      </c>
      <c r="F99">
        <f>F98/1000000</f>
        <v>8.0000000000000004E-4</v>
      </c>
      <c r="G99">
        <f>G98/1000000</f>
        <v>5.0000000000000001E-3</v>
      </c>
      <c r="H99">
        <f>H98/1000000</f>
        <v>8.9999999999999993E-3</v>
      </c>
    </row>
    <row r="100" spans="5:15">
      <c r="I100" t="s">
        <v>579</v>
      </c>
    </row>
    <row r="101" spans="5:15">
      <c r="E101" s="182" t="s">
        <v>578</v>
      </c>
      <c r="F101">
        <f>F99*F93</f>
        <v>5.1827102820540363</v>
      </c>
      <c r="G101">
        <f>G99*G93</f>
        <v>0</v>
      </c>
      <c r="H101">
        <f>H99*H93</f>
        <v>11.311423941772141</v>
      </c>
      <c r="I101">
        <f>H101+F101</f>
        <v>16.494134223826176</v>
      </c>
    </row>
  </sheetData>
  <conditionalFormatting sqref="Q54">
    <cfRule type="expression" dxfId="2" priority="1">
      <formula>CellHasFormula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SpinButton1">
          <controlPr defaultSize="0" autoLine="0" autoPict="0" linkedCell="parameters!F22" r:id="rId5">
            <anchor moveWithCells="1">
              <from>
                <xdr:col>6</xdr:col>
                <xdr:colOff>342900</xdr:colOff>
                <xdr:row>0</xdr:row>
                <xdr:rowOff>457200</xdr:rowOff>
              </from>
              <to>
                <xdr:col>7</xdr:col>
                <xdr:colOff>9525</xdr:colOff>
                <xdr:row>0</xdr:row>
                <xdr:rowOff>628650</xdr:rowOff>
              </to>
            </anchor>
          </controlPr>
        </control>
      </mc:Choice>
      <mc:Fallback>
        <control shapeId="4105" r:id="rId4" name="SpinButton1"/>
      </mc:Fallback>
    </mc:AlternateContent>
    <mc:AlternateContent xmlns:mc="http://schemas.openxmlformats.org/markup-compatibility/2006">
      <mc:Choice Requires="x14">
        <control shapeId="4100" r:id="rId6" name="TextBox1">
          <controlPr defaultSize="0" autoLine="0" autoPict="0" linkedCell="parameters!F21" r:id="rId7">
            <anchor moveWithCells="1">
              <from>
                <xdr:col>5</xdr:col>
                <xdr:colOff>171450</xdr:colOff>
                <xdr:row>0</xdr:row>
                <xdr:rowOff>133350</xdr:rowOff>
              </from>
              <to>
                <xdr:col>5</xdr:col>
                <xdr:colOff>742950</xdr:colOff>
                <xdr:row>0</xdr:row>
                <xdr:rowOff>381000</xdr:rowOff>
              </to>
            </anchor>
          </controlPr>
        </control>
      </mc:Choice>
      <mc:Fallback>
        <control shapeId="4100" r:id="rId6" name="TextBox1"/>
      </mc:Fallback>
    </mc:AlternateContent>
    <mc:AlternateContent xmlns:mc="http://schemas.openxmlformats.org/markup-compatibility/2006">
      <mc:Choice Requires="x14">
        <control shapeId="4099" r:id="rId8" name="ScrollBar1">
          <controlPr defaultSize="0" autoLine="0" autoPict="0" linkedCell="parameters!F21" r:id="rId9">
            <anchor moveWithCells="1">
              <from>
                <xdr:col>6</xdr:col>
                <xdr:colOff>9525</xdr:colOff>
                <xdr:row>0</xdr:row>
                <xdr:rowOff>123825</xdr:rowOff>
              </from>
              <to>
                <xdr:col>8</xdr:col>
                <xdr:colOff>1219200</xdr:colOff>
                <xdr:row>0</xdr:row>
                <xdr:rowOff>361950</xdr:rowOff>
              </to>
            </anchor>
          </controlPr>
        </control>
      </mc:Choice>
      <mc:Fallback>
        <control shapeId="4099" r:id="rId8" name="ScrollBar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"/>
  <sheetViews>
    <sheetView workbookViewId="0">
      <pane ySplit="1" topLeftCell="A2" activePane="bottomLeft" state="frozen"/>
      <selection activeCell="N38" sqref="N38"/>
      <selection pane="bottomLeft"/>
    </sheetView>
  </sheetViews>
  <sheetFormatPr defaultRowHeight="15"/>
  <cols>
    <col min="13" max="13" width="12" bestFit="1" customWidth="1"/>
  </cols>
  <sheetData>
    <row r="1" spans="1:40">
      <c r="A1" t="s">
        <v>462</v>
      </c>
      <c r="B1" t="s">
        <v>491</v>
      </c>
      <c r="C1" t="s">
        <v>463</v>
      </c>
      <c r="D1" t="s">
        <v>16</v>
      </c>
      <c r="E1" t="s">
        <v>15</v>
      </c>
      <c r="F1" t="s">
        <v>0</v>
      </c>
      <c r="G1" t="s">
        <v>297</v>
      </c>
      <c r="H1" t="s">
        <v>298</v>
      </c>
      <c r="I1" t="s">
        <v>202</v>
      </c>
      <c r="J1" t="s">
        <v>536</v>
      </c>
      <c r="K1" t="s">
        <v>586</v>
      </c>
      <c r="L1" t="s">
        <v>203</v>
      </c>
      <c r="M1" t="s">
        <v>204</v>
      </c>
      <c r="N1" t="s">
        <v>425</v>
      </c>
      <c r="O1" t="s">
        <v>205</v>
      </c>
      <c r="P1" t="s">
        <v>206</v>
      </c>
      <c r="Q1" t="s">
        <v>421</v>
      </c>
      <c r="R1" t="s">
        <v>207</v>
      </c>
      <c r="S1" t="s">
        <v>208</v>
      </c>
      <c r="T1" t="s">
        <v>209</v>
      </c>
      <c r="U1" t="s">
        <v>210</v>
      </c>
      <c r="V1" t="s">
        <v>211</v>
      </c>
      <c r="W1" t="s">
        <v>212</v>
      </c>
      <c r="X1" t="s">
        <v>415</v>
      </c>
      <c r="Y1" t="s">
        <v>213</v>
      </c>
      <c r="Z1" t="s">
        <v>453</v>
      </c>
      <c r="AA1" t="s">
        <v>556</v>
      </c>
      <c r="AB1" t="s">
        <v>230</v>
      </c>
      <c r="AC1" t="s">
        <v>214</v>
      </c>
      <c r="AD1" t="s">
        <v>215</v>
      </c>
      <c r="AE1" t="s">
        <v>216</v>
      </c>
      <c r="AF1" t="s">
        <v>515</v>
      </c>
      <c r="AG1" t="s">
        <v>217</v>
      </c>
      <c r="AH1" t="s">
        <v>218</v>
      </c>
      <c r="AI1" t="s">
        <v>581</v>
      </c>
      <c r="AJ1" t="s">
        <v>219</v>
      </c>
      <c r="AK1" t="s">
        <v>539</v>
      </c>
      <c r="AL1" t="s">
        <v>305</v>
      </c>
      <c r="AM1" t="s">
        <v>220</v>
      </c>
      <c r="AN1" t="s">
        <v>235</v>
      </c>
    </row>
  </sheetData>
  <conditionalFormatting sqref="F1:F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{CC85E7A6-DB01-4C50-B810-AC2BE83B632B}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85E7A6-DB01-4C50-B810-AC2BE83B63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J42" sqref="J42"/>
    </sheetView>
  </sheetViews>
  <sheetFormatPr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6"/>
  <sheetViews>
    <sheetView workbookViewId="0">
      <selection activeCell="T29" sqref="T29"/>
    </sheetView>
  </sheetViews>
  <sheetFormatPr defaultRowHeight="15"/>
  <sheetData>
    <row r="1" spans="1:17">
      <c r="A1" t="s">
        <v>17</v>
      </c>
    </row>
    <row r="2" spans="1:17">
      <c r="A2" t="s">
        <v>240</v>
      </c>
    </row>
    <row r="4" spans="1:17">
      <c r="A4" t="s">
        <v>145</v>
      </c>
    </row>
    <row r="5" spans="1:17">
      <c r="A5" t="s">
        <v>146</v>
      </c>
    </row>
    <row r="6" spans="1:17">
      <c r="A6" t="s">
        <v>149</v>
      </c>
    </row>
    <row r="7" spans="1:17">
      <c r="A7" t="s">
        <v>147</v>
      </c>
    </row>
    <row r="8" spans="1:17">
      <c r="A8" t="s">
        <v>148</v>
      </c>
    </row>
    <row r="10" spans="1:17">
      <c r="P10" t="s">
        <v>520</v>
      </c>
      <c r="Q10">
        <v>0.05</v>
      </c>
    </row>
    <row r="11" spans="1:17">
      <c r="P11" t="s">
        <v>519</v>
      </c>
      <c r="Q11">
        <v>100</v>
      </c>
    </row>
    <row r="12" spans="1:17">
      <c r="O12" t="s">
        <v>518</v>
      </c>
      <c r="P12" t="s">
        <v>521</v>
      </c>
    </row>
    <row r="13" spans="1:17">
      <c r="O13">
        <v>1</v>
      </c>
      <c r="P13">
        <f t="shared" ref="P13:P21" si="0">npv_calc($Q$11,$Q$10,O13)</f>
        <v>100</v>
      </c>
    </row>
    <row r="14" spans="1:17">
      <c r="O14">
        <v>2</v>
      </c>
      <c r="P14">
        <f t="shared" si="0"/>
        <v>190.702947845805</v>
      </c>
    </row>
    <row r="15" spans="1:17">
      <c r="O15">
        <v>3</v>
      </c>
      <c r="P15">
        <f t="shared" si="0"/>
        <v>277.08670769895258</v>
      </c>
    </row>
    <row r="16" spans="1:17">
      <c r="O16">
        <v>4</v>
      </c>
      <c r="P16">
        <f t="shared" si="0"/>
        <v>359.35695517814077</v>
      </c>
    </row>
    <row r="17" spans="15:16">
      <c r="O17">
        <v>5</v>
      </c>
      <c r="P17">
        <f t="shared" si="0"/>
        <v>437.70957182498665</v>
      </c>
    </row>
    <row r="18" spans="15:16">
      <c r="O18">
        <v>6</v>
      </c>
      <c r="P18">
        <f t="shared" si="0"/>
        <v>512.33111148864941</v>
      </c>
    </row>
    <row r="19" spans="15:16">
      <c r="O19">
        <v>7</v>
      </c>
      <c r="P19">
        <f t="shared" si="0"/>
        <v>583.39924450166154</v>
      </c>
    </row>
    <row r="20" spans="15:16">
      <c r="O20">
        <v>8</v>
      </c>
      <c r="P20">
        <f t="shared" si="0"/>
        <v>651.08318070453026</v>
      </c>
    </row>
    <row r="21" spans="15:16">
      <c r="O21">
        <v>9</v>
      </c>
      <c r="P21">
        <f t="shared" si="0"/>
        <v>715.54407232631002</v>
      </c>
    </row>
    <row r="22" spans="15:16">
      <c r="O22">
        <v>10</v>
      </c>
      <c r="P22">
        <f>npv_calc($Q$11,$Q$10,O22)</f>
        <v>776.9353976803859</v>
      </c>
    </row>
    <row r="23" spans="15:16">
      <c r="O23">
        <v>20</v>
      </c>
      <c r="P23">
        <f t="shared" ref="P23:P35" si="1">npv_calc($Q$11,$Q$10,O23)</f>
        <v>1250.982939015903</v>
      </c>
    </row>
    <row r="24" spans="15:16">
      <c r="O24">
        <v>30</v>
      </c>
      <c r="P24">
        <f t="shared" si="1"/>
        <v>1542.0070074501878</v>
      </c>
    </row>
    <row r="25" spans="15:16">
      <c r="O25">
        <v>40</v>
      </c>
      <c r="P25">
        <f t="shared" si="1"/>
        <v>1720.6705401613478</v>
      </c>
    </row>
    <row r="26" spans="15:16">
      <c r="O26">
        <v>50</v>
      </c>
      <c r="P26">
        <f t="shared" si="1"/>
        <v>1830.3544508171419</v>
      </c>
    </row>
    <row r="27" spans="15:16">
      <c r="O27">
        <v>60</v>
      </c>
      <c r="P27">
        <f t="shared" si="1"/>
        <v>1897.690857268914</v>
      </c>
    </row>
    <row r="28" spans="15:16">
      <c r="O28">
        <v>70</v>
      </c>
      <c r="P28">
        <f t="shared" si="1"/>
        <v>1939.0295696354644</v>
      </c>
    </row>
    <row r="29" spans="15:16">
      <c r="O29">
        <v>80</v>
      </c>
      <c r="P29">
        <f t="shared" si="1"/>
        <v>1964.4079530415993</v>
      </c>
    </row>
    <row r="30" spans="15:16">
      <c r="O30">
        <v>90</v>
      </c>
      <c r="P30">
        <f t="shared" si="1"/>
        <v>1979.9880789680642</v>
      </c>
    </row>
    <row r="31" spans="15:16">
      <c r="O31">
        <v>100</v>
      </c>
      <c r="P31">
        <f t="shared" si="1"/>
        <v>1989.5529247661555</v>
      </c>
    </row>
    <row r="32" spans="15:16">
      <c r="O32">
        <v>110</v>
      </c>
      <c r="P32">
        <f t="shared" si="1"/>
        <v>1995.4249103696768</v>
      </c>
    </row>
    <row r="33" spans="15:16">
      <c r="O33">
        <v>120</v>
      </c>
      <c r="P33">
        <f t="shared" si="1"/>
        <v>1999.0298001562792</v>
      </c>
    </row>
    <row r="34" spans="15:16">
      <c r="O34">
        <v>130</v>
      </c>
      <c r="P34">
        <f t="shared" si="1"/>
        <v>2001.242889773828</v>
      </c>
    </row>
    <row r="35" spans="15:16">
      <c r="O35">
        <v>140</v>
      </c>
      <c r="P35">
        <f t="shared" si="1"/>
        <v>2002.6015348213143</v>
      </c>
    </row>
    <row r="36" spans="15:16">
      <c r="O36">
        <v>150</v>
      </c>
      <c r="P36">
        <f>npv_calc($Q$11,$Q$10,O36)</f>
        <v>2003.4356250228241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74"/>
  <sheetViews>
    <sheetView zoomScale="70" zoomScaleNormal="70" workbookViewId="0">
      <selection activeCell="X9" sqref="X9"/>
    </sheetView>
  </sheetViews>
  <sheetFormatPr defaultRowHeight="15"/>
  <sheetData>
    <row r="1" spans="2:6" ht="15.75" thickBot="1"/>
    <row r="2" spans="2:6" ht="15.75">
      <c r="B2" s="203" t="s">
        <v>465</v>
      </c>
      <c r="C2" s="203" t="s">
        <v>616</v>
      </c>
      <c r="D2" s="205" t="s">
        <v>16</v>
      </c>
      <c r="E2" s="205" t="s">
        <v>0</v>
      </c>
      <c r="F2" s="206" t="s">
        <v>15</v>
      </c>
    </row>
    <row r="3" spans="2:6" ht="15.75">
      <c r="B3" s="204" t="s">
        <v>522</v>
      </c>
      <c r="C3" s="209">
        <v>0.01</v>
      </c>
      <c r="D3" s="207">
        <v>-752.56252315871893</v>
      </c>
      <c r="E3" s="207">
        <v>752.56252315871893</v>
      </c>
      <c r="F3" s="207">
        <v>-927.08612075391727</v>
      </c>
    </row>
    <row r="4" spans="2:6" ht="15.75">
      <c r="B4" s="204" t="s">
        <v>617</v>
      </c>
      <c r="C4" s="209">
        <v>1.4999999999999999E-2</v>
      </c>
      <c r="D4" s="207">
        <v>-459.47665745542577</v>
      </c>
      <c r="E4" s="207">
        <v>459.47665745542577</v>
      </c>
      <c r="F4" s="207">
        <v>-637.19207650764213</v>
      </c>
    </row>
    <row r="5" spans="2:6" ht="15.75">
      <c r="B5" s="204" t="s">
        <v>618</v>
      </c>
      <c r="C5" s="209">
        <v>0.02</v>
      </c>
      <c r="D5" s="207">
        <v>-329.06368350297356</v>
      </c>
      <c r="E5" s="207">
        <v>329.06368350297356</v>
      </c>
      <c r="F5" s="207">
        <v>-503.58728109817184</v>
      </c>
    </row>
    <row r="6" spans="2:6" ht="15.75">
      <c r="B6" s="204" t="s">
        <v>619</v>
      </c>
      <c r="C6" s="210">
        <v>2.5000000000000001E-2</v>
      </c>
      <c r="D6" s="208">
        <v>-233.61060961308957</v>
      </c>
      <c r="E6" s="208">
        <v>233.61060961308957</v>
      </c>
      <c r="F6" s="208">
        <v>-411.3260286653059</v>
      </c>
    </row>
    <row r="7" spans="2:6" ht="15.75">
      <c r="B7" s="204" t="s">
        <v>620</v>
      </c>
      <c r="C7" s="209">
        <v>0.03</v>
      </c>
      <c r="D7" s="207">
        <v>-189.03495131450617</v>
      </c>
      <c r="E7" s="207">
        <v>189.03495131450617</v>
      </c>
      <c r="F7" s="207">
        <v>-363.55854890970443</v>
      </c>
    </row>
    <row r="8" spans="2:6" ht="15.75">
      <c r="B8" s="204" t="s">
        <v>621</v>
      </c>
      <c r="C8" s="209">
        <v>0.04</v>
      </c>
      <c r="D8" s="208">
        <v>-120.31963349382954</v>
      </c>
      <c r="E8" s="208">
        <v>120.31963349382954</v>
      </c>
      <c r="F8" s="208">
        <v>-294.84323108902782</v>
      </c>
    </row>
    <row r="9" spans="2:6" ht="15.75">
      <c r="B9" s="204" t="s">
        <v>622</v>
      </c>
      <c r="C9" s="209">
        <v>0.05</v>
      </c>
      <c r="D9" s="208">
        <v>-80.275351342044416</v>
      </c>
      <c r="E9" s="208">
        <v>80.275351342044416</v>
      </c>
      <c r="F9" s="208">
        <v>-254.7989489372427</v>
      </c>
    </row>
    <row r="10" spans="2:6" ht="15.75">
      <c r="B10" s="204" t="s">
        <v>623</v>
      </c>
      <c r="C10" s="209">
        <v>0.06</v>
      </c>
      <c r="D10" s="208">
        <v>-54.64649918839433</v>
      </c>
      <c r="E10" s="208">
        <v>54.64649918839433</v>
      </c>
      <c r="F10" s="208">
        <v>-229.17009678359261</v>
      </c>
    </row>
    <row r="11" spans="2:6" ht="15.75">
      <c r="B11" s="204" t="s">
        <v>624</v>
      </c>
      <c r="C11" s="209">
        <v>7.0000000000000007E-2</v>
      </c>
      <c r="D11" s="207">
        <v>-37.304852030675534</v>
      </c>
      <c r="E11" s="207">
        <v>37.304852030675534</v>
      </c>
      <c r="F11" s="207">
        <v>-211.82844962587384</v>
      </c>
    </row>
    <row r="12" spans="2:6" ht="15.75">
      <c r="B12" s="204" t="s">
        <v>625</v>
      </c>
      <c r="C12" s="209">
        <v>0.08</v>
      </c>
      <c r="D12" s="207">
        <v>-25.174492647443714</v>
      </c>
      <c r="E12" s="207">
        <v>25.174492647443714</v>
      </c>
      <c r="F12" s="207">
        <v>-199.69809024264197</v>
      </c>
    </row>
    <row r="13" spans="2:6" ht="15.75">
      <c r="B13" s="204" t="s">
        <v>626</v>
      </c>
      <c r="C13" s="209">
        <v>0.09</v>
      </c>
      <c r="D13" s="207">
        <v>-16.538337880616723</v>
      </c>
      <c r="E13" s="207">
        <v>16.538337880616723</v>
      </c>
      <c r="F13" s="207">
        <v>-191.06193547581498</v>
      </c>
    </row>
    <row r="14" spans="2:6" ht="15.75">
      <c r="B14" s="204" t="s">
        <v>627</v>
      </c>
      <c r="C14" s="209">
        <v>0.1</v>
      </c>
      <c r="D14" s="207">
        <v>-10.360307271513079</v>
      </c>
      <c r="E14" s="207">
        <v>10.360307271513079</v>
      </c>
      <c r="F14" s="207">
        <v>-184.88390486671136</v>
      </c>
    </row>
    <row r="15" spans="2:6" ht="15.75">
      <c r="B15" s="204" t="s">
        <v>523</v>
      </c>
      <c r="C15" s="209">
        <v>0.01</v>
      </c>
      <c r="D15" s="207">
        <v>-903.26022511428107</v>
      </c>
      <c r="E15" s="207">
        <v>877.84250732805924</v>
      </c>
      <c r="F15" s="207">
        <v>-877.84250732805924</v>
      </c>
    </row>
    <row r="16" spans="2:6" ht="15.75">
      <c r="B16" s="204" t="s">
        <v>523</v>
      </c>
      <c r="C16" s="209">
        <v>1.4999999999999999E-2</v>
      </c>
      <c r="D16" s="207">
        <v>-561.67327519542346</v>
      </c>
      <c r="E16" s="207">
        <v>536.25555740920163</v>
      </c>
      <c r="F16" s="207">
        <v>-536.25555740920163</v>
      </c>
    </row>
    <row r="17" spans="2:6" ht="15.75">
      <c r="B17" s="204" t="s">
        <v>523</v>
      </c>
      <c r="C17" s="209">
        <v>0.02</v>
      </c>
      <c r="D17" s="207">
        <v>-390.92170769132588</v>
      </c>
      <c r="E17" s="207">
        <v>365.50398990510405</v>
      </c>
      <c r="F17" s="207">
        <v>-365.50398990510405</v>
      </c>
    </row>
    <row r="18" spans="2:6" ht="15.75">
      <c r="B18" s="204" t="s">
        <v>523</v>
      </c>
      <c r="C18" s="210">
        <v>2.5000000000000001E-2</v>
      </c>
      <c r="D18" s="208">
        <v>-288.76736630992934</v>
      </c>
      <c r="E18" s="208">
        <v>263.34964852370751</v>
      </c>
      <c r="F18" s="208">
        <v>-263.34964852370751</v>
      </c>
    </row>
    <row r="19" spans="2:6" ht="15.75">
      <c r="B19" s="204" t="s">
        <v>523</v>
      </c>
      <c r="C19" s="209">
        <v>0.03</v>
      </c>
      <c r="D19" s="207">
        <v>-220.99910706387993</v>
      </c>
      <c r="E19" s="207">
        <v>195.5813892776581</v>
      </c>
      <c r="F19" s="207">
        <v>-195.5813892776581</v>
      </c>
    </row>
    <row r="20" spans="2:6" ht="15.75">
      <c r="B20" s="204" t="s">
        <v>523</v>
      </c>
      <c r="C20" s="209">
        <v>0.04</v>
      </c>
      <c r="D20" s="208">
        <v>-137.17590964401415</v>
      </c>
      <c r="E20" s="208">
        <v>111.75819185779233</v>
      </c>
      <c r="F20" s="208">
        <v>-111.75819185779233</v>
      </c>
    </row>
    <row r="21" spans="2:6" ht="15.75">
      <c r="B21" s="204" t="s">
        <v>523</v>
      </c>
      <c r="C21" s="209">
        <v>0.05</v>
      </c>
      <c r="D21" s="208">
        <v>-87.938732062577742</v>
      </c>
      <c r="E21" s="208">
        <v>62.521014276355913</v>
      </c>
      <c r="F21" s="208">
        <v>-62.521014276355913</v>
      </c>
    </row>
    <row r="22" spans="2:6" ht="15.75">
      <c r="B22" s="204" t="s">
        <v>523</v>
      </c>
      <c r="C22" s="209">
        <v>0.06</v>
      </c>
      <c r="D22" s="208">
        <v>-56.070717314423973</v>
      </c>
      <c r="E22" s="208">
        <v>30.652999528202145</v>
      </c>
      <c r="F22" s="208">
        <v>-30.652999528202145</v>
      </c>
    </row>
    <row r="23" spans="2:6" ht="15.75">
      <c r="B23" s="204" t="s">
        <v>523</v>
      </c>
      <c r="C23" s="209">
        <v>7.0000000000000007E-2</v>
      </c>
      <c r="D23" s="207">
        <v>-34.174336821975317</v>
      </c>
      <c r="E23" s="207">
        <v>8.7566190357534879</v>
      </c>
      <c r="F23" s="207">
        <v>-8.7566190357534879</v>
      </c>
    </row>
    <row r="24" spans="2:6" ht="15.75">
      <c r="B24" s="204" t="s">
        <v>523</v>
      </c>
      <c r="C24" s="209">
        <v>0.08</v>
      </c>
      <c r="D24" s="207">
        <v>-25.417717786221829</v>
      </c>
      <c r="E24" s="207">
        <v>-6.8781957601747763</v>
      </c>
      <c r="F24" s="207">
        <v>6.8781957601747763</v>
      </c>
    </row>
    <row r="25" spans="2:6" ht="15.75">
      <c r="B25" s="204" t="s">
        <v>523</v>
      </c>
      <c r="C25" s="209">
        <v>0.09</v>
      </c>
      <c r="D25" s="207">
        <v>-25.417717786221829</v>
      </c>
      <c r="E25" s="207">
        <v>-18.320280426628415</v>
      </c>
      <c r="F25" s="207">
        <v>18.320280426628415</v>
      </c>
    </row>
    <row r="26" spans="2:6" ht="15.75">
      <c r="B26" s="204" t="s">
        <v>523</v>
      </c>
      <c r="C26" s="209">
        <v>0.1</v>
      </c>
      <c r="D26" s="207">
        <v>-25.417717786221829</v>
      </c>
      <c r="E26" s="207">
        <v>-26.816306196417656</v>
      </c>
      <c r="F26" s="207">
        <v>25.417717786221829</v>
      </c>
    </row>
    <row r="27" spans="2:6" ht="15.75">
      <c r="B27" s="204" t="s">
        <v>524</v>
      </c>
      <c r="C27" s="209">
        <v>0.01</v>
      </c>
      <c r="D27" s="207">
        <v>-1753.863213484246</v>
      </c>
      <c r="E27" s="207">
        <v>61.688112959879163</v>
      </c>
      <c r="F27" s="207">
        <v>-61.688112959879163</v>
      </c>
    </row>
    <row r="28" spans="2:6" ht="15.75">
      <c r="B28" s="204" t="s">
        <v>524</v>
      </c>
      <c r="C28" s="209">
        <v>1.4999999999999999E-2</v>
      </c>
      <c r="D28" s="207">
        <v>-1692.1751005243668</v>
      </c>
      <c r="E28" s="207">
        <v>-378.2710431769583</v>
      </c>
      <c r="F28" s="207">
        <v>378.2710431769583</v>
      </c>
    </row>
    <row r="29" spans="2:6" ht="15.75">
      <c r="B29" s="204" t="s">
        <v>524</v>
      </c>
      <c r="C29" s="209">
        <v>0.02</v>
      </c>
      <c r="D29" s="207">
        <v>-1692.1751005243671</v>
      </c>
      <c r="E29" s="207">
        <v>-598.34986505607458</v>
      </c>
      <c r="F29" s="207">
        <v>598.34986505607458</v>
      </c>
    </row>
    <row r="30" spans="2:6" ht="15.75">
      <c r="B30" s="204" t="s">
        <v>524</v>
      </c>
      <c r="C30" s="210">
        <v>2.5000000000000001E-2</v>
      </c>
      <c r="D30" s="208">
        <v>-1692.1751005243668</v>
      </c>
      <c r="E30" s="208">
        <v>-730.1458831027644</v>
      </c>
      <c r="F30" s="208">
        <v>730.1458831027644</v>
      </c>
    </row>
    <row r="31" spans="2:6" ht="15.75">
      <c r="B31" s="204" t="s">
        <v>524</v>
      </c>
      <c r="C31" s="209">
        <v>0.03</v>
      </c>
      <c r="D31" s="207">
        <v>-1692.1751005243668</v>
      </c>
      <c r="E31" s="207">
        <v>-817.69418130709801</v>
      </c>
      <c r="F31" s="207">
        <v>817.69418130709801</v>
      </c>
    </row>
    <row r="32" spans="2:6" ht="15.75">
      <c r="B32" s="204" t="s">
        <v>524</v>
      </c>
      <c r="C32" s="209">
        <v>0.04</v>
      </c>
      <c r="D32" s="208">
        <v>-1692.1751005243671</v>
      </c>
      <c r="E32" s="208">
        <v>-926.26374434090849</v>
      </c>
      <c r="F32" s="208">
        <v>926.26374434090849</v>
      </c>
    </row>
    <row r="33" spans="2:6" ht="15.75">
      <c r="B33" s="204" t="s">
        <v>524</v>
      </c>
      <c r="C33" s="209">
        <v>0.05</v>
      </c>
      <c r="D33" s="208">
        <v>-1692.1751005243671</v>
      </c>
      <c r="E33" s="208">
        <v>-990.36012338558476</v>
      </c>
      <c r="F33" s="208">
        <v>990.36012338558476</v>
      </c>
    </row>
    <row r="34" spans="2:6" ht="15.75">
      <c r="B34" s="204" t="s">
        <v>524</v>
      </c>
      <c r="C34" s="209">
        <v>0.06</v>
      </c>
      <c r="D34" s="208">
        <v>-1692.1751005243668</v>
      </c>
      <c r="E34" s="208">
        <v>-1032.139019527408</v>
      </c>
      <c r="F34" s="208">
        <v>1032.139019527408</v>
      </c>
    </row>
    <row r="35" spans="2:6" ht="15.75">
      <c r="B35" s="204" t="s">
        <v>524</v>
      </c>
      <c r="C35" s="209">
        <v>7.0000000000000007E-2</v>
      </c>
      <c r="D35" s="207">
        <v>-1692.1751005243671</v>
      </c>
      <c r="E35" s="207">
        <v>-1061.1169275508601</v>
      </c>
      <c r="F35" s="207">
        <v>1061.1169275508601</v>
      </c>
    </row>
    <row r="36" spans="2:6" ht="15.75">
      <c r="B36" s="204" t="s">
        <v>524</v>
      </c>
      <c r="C36" s="209">
        <v>0.08</v>
      </c>
      <c r="D36" s="207">
        <v>-1692.1751005243666</v>
      </c>
      <c r="E36" s="207">
        <v>-1082.0641608680226</v>
      </c>
      <c r="F36" s="207">
        <v>1082.0641608680226</v>
      </c>
    </row>
    <row r="37" spans="2:6" ht="15.75">
      <c r="B37" s="204" t="s">
        <v>524</v>
      </c>
      <c r="C37" s="209">
        <v>0.09</v>
      </c>
      <c r="D37" s="207">
        <v>-1692.1751005243671</v>
      </c>
      <c r="E37" s="207">
        <v>-1097.6388811427009</v>
      </c>
      <c r="F37" s="207">
        <v>1097.6388811427009</v>
      </c>
    </row>
    <row r="38" spans="2:6" ht="15.75">
      <c r="B38" s="204" t="s">
        <v>524</v>
      </c>
      <c r="C38" s="209">
        <v>0.1</v>
      </c>
      <c r="D38" s="207">
        <v>-1692.1751005243668</v>
      </c>
      <c r="E38" s="207">
        <v>-1109.4414908740423</v>
      </c>
      <c r="F38" s="207">
        <v>1109.4414908740423</v>
      </c>
    </row>
    <row r="39" spans="2:6" ht="15.75">
      <c r="B39" s="204" t="s">
        <v>552</v>
      </c>
      <c r="C39" s="209">
        <v>0.01</v>
      </c>
      <c r="D39" s="207">
        <v>-716.32088603894226</v>
      </c>
      <c r="E39" s="207">
        <v>716.32088603894226</v>
      </c>
      <c r="F39" s="207">
        <v>-946.92533672519198</v>
      </c>
    </row>
    <row r="40" spans="2:6" ht="15.75">
      <c r="B40" s="204" t="s">
        <v>552</v>
      </c>
      <c r="C40" s="209">
        <v>1.4999999999999999E-2</v>
      </c>
      <c r="D40" s="207">
        <v>-433.70972650267538</v>
      </c>
      <c r="E40" s="207">
        <v>433.70972650267538</v>
      </c>
      <c r="F40" s="207">
        <v>-664.31417718892521</v>
      </c>
    </row>
    <row r="41" spans="2:6" ht="15.75">
      <c r="B41" s="204" t="s">
        <v>552</v>
      </c>
      <c r="C41" s="209">
        <v>0.02</v>
      </c>
      <c r="D41" s="207">
        <v>-292.504594778637</v>
      </c>
      <c r="E41" s="207">
        <v>292.504594778637</v>
      </c>
      <c r="F41" s="207">
        <v>-523.10904546488678</v>
      </c>
    </row>
    <row r="42" spans="2:6" ht="15.75">
      <c r="B42" s="204" t="s">
        <v>552</v>
      </c>
      <c r="C42" s="210">
        <v>2.5000000000000001E-2</v>
      </c>
      <c r="D42" s="208">
        <v>-208.08303203048067</v>
      </c>
      <c r="E42" s="208">
        <v>208.08303203048067</v>
      </c>
      <c r="F42" s="208">
        <v>-438.68748271673041</v>
      </c>
    </row>
    <row r="43" spans="2:6" ht="15.75">
      <c r="B43" s="204" t="s">
        <v>552</v>
      </c>
      <c r="C43" s="209">
        <v>0.03</v>
      </c>
      <c r="D43" s="208">
        <v>-152.12834323980977</v>
      </c>
      <c r="E43" s="208">
        <v>152.12834323980977</v>
      </c>
      <c r="F43" s="208">
        <v>-382.73279392605946</v>
      </c>
    </row>
    <row r="44" spans="2:6" ht="15.75">
      <c r="B44" s="204" t="s">
        <v>552</v>
      </c>
      <c r="C44" s="209">
        <v>0.04</v>
      </c>
      <c r="D44" s="208">
        <v>-83.037770837684945</v>
      </c>
      <c r="E44" s="208">
        <v>83.037770837684945</v>
      </c>
      <c r="F44" s="208">
        <v>-313.64222152393467</v>
      </c>
    </row>
    <row r="45" spans="2:6" ht="15.75">
      <c r="B45" s="204" t="s">
        <v>552</v>
      </c>
      <c r="C45" s="209">
        <v>0.05</v>
      </c>
      <c r="D45" s="207">
        <v>-42.593250360431227</v>
      </c>
      <c r="E45" s="207">
        <v>42.593250360431227</v>
      </c>
      <c r="F45" s="207">
        <v>-273.19770104668095</v>
      </c>
    </row>
    <row r="46" spans="2:6" ht="15.75">
      <c r="B46" s="204" t="s">
        <v>552</v>
      </c>
      <c r="C46" s="209">
        <v>0.06</v>
      </c>
      <c r="D46" s="208">
        <v>-16.54214156976289</v>
      </c>
      <c r="E46" s="208">
        <v>16.54214156976289</v>
      </c>
      <c r="F46" s="208">
        <v>-247.14659225601261</v>
      </c>
    </row>
    <row r="47" spans="2:6" ht="15.75">
      <c r="B47" s="204" t="s">
        <v>552</v>
      </c>
      <c r="C47" s="209">
        <v>7.0000000000000007E-2</v>
      </c>
      <c r="D47" s="207">
        <v>1.2407847522979125</v>
      </c>
      <c r="E47" s="207">
        <v>-1.2407847522979125</v>
      </c>
      <c r="F47" s="207">
        <v>-230.60445068624975</v>
      </c>
    </row>
    <row r="48" spans="2:6" ht="15.75">
      <c r="B48" s="204" t="s">
        <v>552</v>
      </c>
      <c r="C48" s="209">
        <v>0.08</v>
      </c>
      <c r="D48" s="207">
        <v>13.82856630854323</v>
      </c>
      <c r="E48" s="207">
        <v>-13.82856630854323</v>
      </c>
      <c r="F48" s="207">
        <v>-230.60445068624969</v>
      </c>
    </row>
    <row r="49" spans="2:6" ht="15.75">
      <c r="B49" s="204" t="s">
        <v>552</v>
      </c>
      <c r="C49" s="209">
        <v>0.09</v>
      </c>
      <c r="D49" s="207">
        <v>22.935626536019726</v>
      </c>
      <c r="E49" s="207">
        <v>-22.935626536019726</v>
      </c>
      <c r="F49" s="207">
        <v>-230.60445068624969</v>
      </c>
    </row>
    <row r="50" spans="2:6" ht="15.75">
      <c r="B50" s="204" t="s">
        <v>552</v>
      </c>
      <c r="C50" s="209">
        <v>0.1</v>
      </c>
      <c r="D50" s="207">
        <v>29.59566792822622</v>
      </c>
      <c r="E50" s="207">
        <v>-29.59566792822622</v>
      </c>
      <c r="F50" s="207">
        <v>-230.60445068624972</v>
      </c>
    </row>
    <row r="51" spans="2:6" ht="18.75">
      <c r="B51" s="160" t="s">
        <v>553</v>
      </c>
      <c r="C51" s="209">
        <v>0.01</v>
      </c>
      <c r="D51" s="207">
        <v>-795.0329330174801</v>
      </c>
      <c r="E51" s="207">
        <v>795.0329330174801</v>
      </c>
      <c r="F51" s="207">
        <v>-978.48324176173116</v>
      </c>
    </row>
    <row r="52" spans="2:6" ht="18.75">
      <c r="B52" s="160" t="s">
        <v>553</v>
      </c>
      <c r="C52" s="209">
        <v>1.4999999999999999E-2</v>
      </c>
      <c r="D52" s="207">
        <v>-453.5287880446333</v>
      </c>
      <c r="E52" s="207">
        <v>453.5287880446333</v>
      </c>
      <c r="F52" s="207">
        <v>-636.97909678888436</v>
      </c>
    </row>
    <row r="53" spans="2:6" ht="18.75">
      <c r="B53" s="160" t="s">
        <v>553</v>
      </c>
      <c r="C53" s="209">
        <v>0.02</v>
      </c>
      <c r="D53" s="207">
        <v>-282.86417763083131</v>
      </c>
      <c r="E53" s="207">
        <v>282.86417763083131</v>
      </c>
      <c r="F53" s="207">
        <v>-466.31448637508237</v>
      </c>
    </row>
    <row r="54" spans="2:6" ht="18.75">
      <c r="B54" s="160" t="s">
        <v>553</v>
      </c>
      <c r="C54" s="210">
        <v>2.5000000000000001E-2</v>
      </c>
      <c r="D54" s="208">
        <v>-180.80081835737843</v>
      </c>
      <c r="E54" s="208">
        <v>180.80081835737843</v>
      </c>
      <c r="F54" s="208">
        <v>-364.25112710162949</v>
      </c>
    </row>
    <row r="55" spans="2:6" ht="18.75">
      <c r="B55" s="160" t="s">
        <v>553</v>
      </c>
      <c r="C55" s="209">
        <v>0.03</v>
      </c>
      <c r="D55" s="208">
        <v>-113.12741822052078</v>
      </c>
      <c r="E55" s="208">
        <v>113.12741822052078</v>
      </c>
      <c r="F55" s="208">
        <v>-296.57772696477184</v>
      </c>
    </row>
    <row r="56" spans="2:6" ht="18.75">
      <c r="B56" s="160" t="s">
        <v>553</v>
      </c>
      <c r="C56" s="209">
        <v>0.04</v>
      </c>
      <c r="D56" s="208">
        <v>-29.504893851176462</v>
      </c>
      <c r="E56" s="208">
        <v>29.504893851176462</v>
      </c>
      <c r="F56" s="208">
        <v>-212.95520259542752</v>
      </c>
    </row>
    <row r="57" spans="2:6" ht="18.75">
      <c r="B57" s="160" t="s">
        <v>553</v>
      </c>
      <c r="C57" s="209">
        <v>0.05</v>
      </c>
      <c r="D57" s="207">
        <v>19.518250245585534</v>
      </c>
      <c r="E57" s="207">
        <v>-19.518250245585534</v>
      </c>
      <c r="F57" s="207">
        <v>-183.45030874425106</v>
      </c>
    </row>
    <row r="58" spans="2:6" ht="18.75">
      <c r="B58" s="160" t="s">
        <v>553</v>
      </c>
      <c r="C58" s="209">
        <v>0.06</v>
      </c>
      <c r="D58" s="207">
        <v>51.160456884678013</v>
      </c>
      <c r="E58" s="207">
        <v>-51.160456884678013</v>
      </c>
      <c r="F58" s="207">
        <v>-183.45030874425106</v>
      </c>
    </row>
    <row r="59" spans="2:6" ht="18.75">
      <c r="B59" s="160" t="s">
        <v>553</v>
      </c>
      <c r="C59" s="209">
        <v>7.0000000000000007E-2</v>
      </c>
      <c r="D59" s="207">
        <v>72.820856684503724</v>
      </c>
      <c r="E59" s="207">
        <v>-72.820856684503724</v>
      </c>
      <c r="F59" s="207">
        <v>-183.45030874425106</v>
      </c>
    </row>
    <row r="60" spans="2:6" ht="18.75">
      <c r="B60" s="160" t="s">
        <v>553</v>
      </c>
      <c r="C60" s="209">
        <v>0.08</v>
      </c>
      <c r="D60" s="207">
        <v>88.211058070302556</v>
      </c>
      <c r="E60" s="207">
        <v>-88.211058070302556</v>
      </c>
      <c r="F60" s="207">
        <v>-183.45030874425106</v>
      </c>
    </row>
    <row r="61" spans="2:6" ht="18.75">
      <c r="B61" s="160" t="s">
        <v>553</v>
      </c>
      <c r="C61" s="209">
        <v>0.09</v>
      </c>
      <c r="D61" s="207">
        <v>99.401318935082486</v>
      </c>
      <c r="E61" s="207">
        <v>-99.401318935082486</v>
      </c>
      <c r="F61" s="207">
        <v>-183.45030874425106</v>
      </c>
    </row>
    <row r="62" spans="2:6" ht="18.75">
      <c r="B62" s="160" t="s">
        <v>553</v>
      </c>
      <c r="C62" s="209">
        <v>0.1</v>
      </c>
      <c r="D62" s="207">
        <v>107.63958216442194</v>
      </c>
      <c r="E62" s="207">
        <v>-107.63958216442194</v>
      </c>
      <c r="F62" s="207">
        <v>-183.45030874425106</v>
      </c>
    </row>
    <row r="63" spans="2:6" ht="18.75">
      <c r="B63" s="160" t="s">
        <v>554</v>
      </c>
      <c r="C63" s="209">
        <v>0.01</v>
      </c>
      <c r="D63" s="207">
        <v>-1052.2115230165434</v>
      </c>
      <c r="E63" s="207">
        <v>715.36184736095584</v>
      </c>
      <c r="F63" s="207">
        <v>-715.36184736095584</v>
      </c>
    </row>
    <row r="64" spans="2:6" ht="18.75">
      <c r="B64" s="160" t="s">
        <v>554</v>
      </c>
      <c r="C64" s="209">
        <v>1.4999999999999999E-2</v>
      </c>
      <c r="D64" s="207">
        <v>-612.25236687970596</v>
      </c>
      <c r="E64" s="207">
        <v>275.40269122411814</v>
      </c>
      <c r="F64" s="207">
        <v>-275.40269122411814</v>
      </c>
    </row>
    <row r="65" spans="2:6" ht="18.75">
      <c r="B65" s="160" t="s">
        <v>554</v>
      </c>
      <c r="C65" s="209">
        <v>0.02</v>
      </c>
      <c r="D65" s="207">
        <v>-392.17354500058991</v>
      </c>
      <c r="E65" s="207">
        <v>55.323869345002095</v>
      </c>
      <c r="F65" s="207">
        <v>-55.323869345002095</v>
      </c>
    </row>
    <row r="66" spans="2:6" ht="18.75">
      <c r="B66" s="160" t="s">
        <v>554</v>
      </c>
      <c r="C66" s="210">
        <v>2.5000000000000001E-2</v>
      </c>
      <c r="D66" s="208">
        <v>-336.84967565558782</v>
      </c>
      <c r="E66" s="208">
        <v>-76.472148701687956</v>
      </c>
      <c r="F66" s="208">
        <v>76.472148701687956</v>
      </c>
    </row>
    <row r="67" spans="2:6" ht="18.75">
      <c r="B67" s="160" t="s">
        <v>554</v>
      </c>
      <c r="C67" s="209">
        <v>0.03</v>
      </c>
      <c r="D67" s="208">
        <v>-336.84967565558759</v>
      </c>
      <c r="E67" s="208">
        <v>-164.02044690602133</v>
      </c>
      <c r="F67" s="208">
        <v>164.02044690602133</v>
      </c>
    </row>
    <row r="68" spans="2:6" ht="18.75">
      <c r="B68" s="160" t="s">
        <v>554</v>
      </c>
      <c r="C68" s="209">
        <v>0.04</v>
      </c>
      <c r="D68" s="208">
        <v>-336.84967565558782</v>
      </c>
      <c r="E68" s="208">
        <v>-272.59000993983227</v>
      </c>
      <c r="F68" s="208">
        <v>272.59000993983227</v>
      </c>
    </row>
    <row r="69" spans="2:6" ht="18.75">
      <c r="B69" s="160" t="s">
        <v>554</v>
      </c>
      <c r="C69" s="209">
        <v>0.05</v>
      </c>
      <c r="D69" s="207">
        <v>-336.84967565558782</v>
      </c>
      <c r="E69" s="207">
        <v>-336.68638898450831</v>
      </c>
      <c r="F69" s="207">
        <v>336.68638898450831</v>
      </c>
    </row>
    <row r="70" spans="2:6" ht="18.75">
      <c r="B70" s="160" t="s">
        <v>554</v>
      </c>
      <c r="C70" s="209">
        <v>0.06</v>
      </c>
      <c r="D70" s="207">
        <v>-336.84967565558759</v>
      </c>
      <c r="E70" s="207">
        <v>-378.46528512633154</v>
      </c>
      <c r="F70" s="207">
        <v>336.84967565558759</v>
      </c>
    </row>
    <row r="71" spans="2:6" ht="18.75">
      <c r="B71" s="160" t="s">
        <v>554</v>
      </c>
      <c r="C71" s="209">
        <v>7.0000000000000007E-2</v>
      </c>
      <c r="D71" s="207">
        <v>-336.84967565558782</v>
      </c>
      <c r="E71" s="207">
        <v>-407.44319314978338</v>
      </c>
      <c r="F71" s="207">
        <v>336.84967565558782</v>
      </c>
    </row>
    <row r="72" spans="2:6" ht="18.75">
      <c r="B72" s="160" t="s">
        <v>554</v>
      </c>
      <c r="C72" s="209">
        <v>0.08</v>
      </c>
      <c r="D72" s="207">
        <v>-336.84967565558782</v>
      </c>
      <c r="E72" s="207">
        <v>-428.39042646694656</v>
      </c>
      <c r="F72" s="207">
        <v>336.84967565558782</v>
      </c>
    </row>
    <row r="73" spans="2:6" ht="18.75">
      <c r="B73" s="160" t="s">
        <v>554</v>
      </c>
      <c r="C73" s="209">
        <v>0.09</v>
      </c>
      <c r="D73" s="207">
        <v>-336.84967565558782</v>
      </c>
      <c r="E73" s="207">
        <v>-443.96514674162438</v>
      </c>
      <c r="F73" s="207">
        <v>336.84967565558782</v>
      </c>
    </row>
    <row r="74" spans="2:6" ht="18.75">
      <c r="B74" s="160" t="s">
        <v>554</v>
      </c>
      <c r="C74" s="209">
        <v>0.1</v>
      </c>
      <c r="D74" s="207">
        <v>-336.84967565558782</v>
      </c>
      <c r="E74" s="207">
        <v>-455.76775647296631</v>
      </c>
      <c r="F74" s="207">
        <v>336.84967565558782</v>
      </c>
    </row>
  </sheetData>
  <conditionalFormatting sqref="D8:F14 D32:F38 D20:F26 D42:F45 D47:F50 D66:D74 D54:F62">
    <cfRule type="expression" dxfId="1" priority="2">
      <formula>CellHasFormula</formula>
    </cfRule>
  </conditionalFormatting>
  <conditionalFormatting sqref="D46:F46">
    <cfRule type="expression" dxfId="0" priority="1">
      <formula>CellHasFormula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166</vt:i4>
      </vt:variant>
    </vt:vector>
  </HeadingPairs>
  <TitlesOfParts>
    <vt:vector size="178" baseType="lpstr">
      <vt:lpstr>constants</vt:lpstr>
      <vt:lpstr>Scenarios</vt:lpstr>
      <vt:lpstr>parameters</vt:lpstr>
      <vt:lpstr>common</vt:lpstr>
      <vt:lpstr>reference</vt:lpstr>
      <vt:lpstr>bes</vt:lpstr>
      <vt:lpstr>beccs</vt:lpstr>
      <vt:lpstr>bebcs</vt:lpstr>
      <vt:lpstr>Results</vt:lpstr>
      <vt:lpstr>Charts</vt:lpstr>
      <vt:lpstr>Notes</vt:lpstr>
      <vt:lpstr>sensitivity</vt:lpstr>
      <vt:lpstr>aglime_price</vt:lpstr>
      <vt:lpstr>bc_app_rate</vt:lpstr>
      <vt:lpstr>bc_ash</vt:lpstr>
      <vt:lpstr>bc_bd</vt:lpstr>
      <vt:lpstr>bc_c</vt:lpstr>
      <vt:lpstr>bc_cp</vt:lpstr>
      <vt:lpstr>bc_field_cost</vt:lpstr>
      <vt:lpstr>bc_h</vt:lpstr>
      <vt:lpstr>bc_haul_c</vt:lpstr>
      <vt:lpstr>bc_haul_cost</vt:lpstr>
      <vt:lpstr>bc_hhv</vt:lpstr>
      <vt:lpstr>bc_lab_frac</vt:lpstr>
      <vt:lpstr>bc_max_nutrient_value</vt:lpstr>
      <vt:lpstr>bc_nutrient_value</vt:lpstr>
      <vt:lpstr>bc_o</vt:lpstr>
      <vt:lpstr>bc_oc</vt:lpstr>
      <vt:lpstr>bc_price</vt:lpstr>
      <vt:lpstr>bc_revenue</vt:lpstr>
      <vt:lpstr>bc_stab_factor</vt:lpstr>
      <vt:lpstr>bc_y</vt:lpstr>
      <vt:lpstr>bc_yield_value</vt:lpstr>
      <vt:lpstr>bebcs_cc</vt:lpstr>
      <vt:lpstr>bebcs_cc_hi</vt:lpstr>
      <vt:lpstr>bebcs_cc_hi2030</vt:lpstr>
      <vt:lpstr>bebcs_cc_hi2050</vt:lpstr>
      <vt:lpstr>bebcs_cc_hi2100</vt:lpstr>
      <vt:lpstr>bebcs_cc_lo</vt:lpstr>
      <vt:lpstr>bebcs_cc_lo2030</vt:lpstr>
      <vt:lpstr>bebcs_cc_lo2050</vt:lpstr>
      <vt:lpstr>bebcs_cc_lo2100</vt:lpstr>
      <vt:lpstr>bebcs_direct_ghg</vt:lpstr>
      <vt:lpstr>bebcs_life_ratio</vt:lpstr>
      <vt:lpstr>bebcs_net_value</vt:lpstr>
      <vt:lpstr>bebcs_oc_nv</vt:lpstr>
      <vt:lpstr>bebcs_soil_feedback</vt:lpstr>
      <vt:lpstr>bebcs_tot_c_abatement</vt:lpstr>
      <vt:lpstr>bebcs_total_cost</vt:lpstr>
      <vt:lpstr>bebcs_total_revenue</vt:lpstr>
      <vt:lpstr>beccs_available</vt:lpstr>
      <vt:lpstr>beccs_eff_penalty</vt:lpstr>
      <vt:lpstr>beccs_elec_prod</vt:lpstr>
      <vt:lpstr>beccs_net_value</vt:lpstr>
      <vt:lpstr>beccs_oc_nv</vt:lpstr>
      <vt:lpstr>beccs_seq_fraction</vt:lpstr>
      <vt:lpstr>beccs_tot_c_abatement</vt:lpstr>
      <vt:lpstr>bes_annual_cc</vt:lpstr>
      <vt:lpstr>bes_annuity</vt:lpstr>
      <vt:lpstr>bes_cc</vt:lpstr>
      <vt:lpstr>bes_cc_hi</vt:lpstr>
      <vt:lpstr>bes_cc_hi_2020</vt:lpstr>
      <vt:lpstr>bes_cc_hi_2030</vt:lpstr>
      <vt:lpstr>bes_cc_hi_2050</vt:lpstr>
      <vt:lpstr>bes_cc_hi_2100</vt:lpstr>
      <vt:lpstr>bes_cc_lo</vt:lpstr>
      <vt:lpstr>bes_cc_lo_2020</vt:lpstr>
      <vt:lpstr>bes_cc_lo_2030</vt:lpstr>
      <vt:lpstr>bes_cc_lo_2050</vt:lpstr>
      <vt:lpstr>bes_cc_lo_2100</vt:lpstr>
      <vt:lpstr>bes_elec_prod</vt:lpstr>
      <vt:lpstr>bes_energy_efficiency</vt:lpstr>
      <vt:lpstr>bes_life</vt:lpstr>
      <vt:lpstr>bes_net_value</vt:lpstr>
      <vt:lpstr>bes_oc_nv</vt:lpstr>
      <vt:lpstr>bes_tot_c_abatement</vt:lpstr>
      <vt:lpstr>bm_ash</vt:lpstr>
      <vt:lpstr>bm_base</vt:lpstr>
      <vt:lpstr>bm_bd</vt:lpstr>
      <vt:lpstr>bm_c</vt:lpstr>
      <vt:lpstr>bm_feed_rate</vt:lpstr>
      <vt:lpstr>bm_h</vt:lpstr>
      <vt:lpstr>bm_h2o</vt:lpstr>
      <vt:lpstr>bm_lhv</vt:lpstr>
      <vt:lpstr>bm_o</vt:lpstr>
      <vt:lpstr>bo_c</vt:lpstr>
      <vt:lpstr>bo_cp</vt:lpstr>
      <vt:lpstr>bo_h</vt:lpstr>
      <vt:lpstr>bo_hhv</vt:lpstr>
      <vt:lpstr>bo_hvap</vt:lpstr>
      <vt:lpstr>bo_o</vt:lpstr>
      <vt:lpstr>bo_y</vt:lpstr>
      <vt:lpstr>boolean_values</vt:lpstr>
      <vt:lpstr>c_price</vt:lpstr>
      <vt:lpstr>capacity_factor</vt:lpstr>
      <vt:lpstr>ccs_cc</vt:lpstr>
      <vt:lpstr>Crk</vt:lpstr>
      <vt:lpstr>crop_price_increase</vt:lpstr>
      <vt:lpstr>daf_feed_rate</vt:lpstr>
      <vt:lpstr>discount</vt:lpstr>
      <vt:lpstr>dist_codes</vt:lpstr>
      <vt:lpstr>elec_price</vt:lpstr>
      <vt:lpstr>ff_c_intensity</vt:lpstr>
      <vt:lpstr>ff_c_intensity_hi</vt:lpstr>
      <vt:lpstr>ff_c_intensity_lo</vt:lpstr>
      <vt:lpstr>ff_eff</vt:lpstr>
      <vt:lpstr>g_c2h4_y</vt:lpstr>
      <vt:lpstr>g_ch4_y</vt:lpstr>
      <vt:lpstr>g_co_y</vt:lpstr>
      <vt:lpstr>g_co2_y</vt:lpstr>
      <vt:lpstr>g_cp</vt:lpstr>
      <vt:lpstr>g_h2_y</vt:lpstr>
      <vt:lpstr>g_h2o_y</vt:lpstr>
      <vt:lpstr>g_hhv</vt:lpstr>
      <vt:lpstr>g_y</vt:lpstr>
      <vt:lpstr>gwp_ch4</vt:lpstr>
      <vt:lpstr>gwp_n2o</vt:lpstr>
      <vt:lpstr>lignin</vt:lpstr>
      <vt:lpstr>monte_n</vt:lpstr>
      <vt:lpstr>monte_params</vt:lpstr>
      <vt:lpstr>monte_results</vt:lpstr>
      <vt:lpstr>n_app_rate</vt:lpstr>
      <vt:lpstr>n2o_factor</vt:lpstr>
      <vt:lpstr>n2o_years</vt:lpstr>
      <vt:lpstr>O_M_factor</vt:lpstr>
      <vt:lpstr>params</vt:lpstr>
      <vt:lpstr>params_max</vt:lpstr>
      <vt:lpstr>params_mean</vt:lpstr>
      <vt:lpstr>params_min</vt:lpstr>
      <vt:lpstr>priming_factor</vt:lpstr>
      <vt:lpstr>py_annuity</vt:lpstr>
      <vt:lpstr>py_area</vt:lpstr>
      <vt:lpstr>py_aspect</vt:lpstr>
      <vt:lpstr>py_bc_heat_loss</vt:lpstr>
      <vt:lpstr>py_bo_heat_loss</vt:lpstr>
      <vt:lpstr>py_cc</vt:lpstr>
      <vt:lpstr>py_E_bc</vt:lpstr>
      <vt:lpstr>py_E_bo</vt:lpstr>
      <vt:lpstr>py_E_fuel</vt:lpstr>
      <vt:lpstr>py_E_g</vt:lpstr>
      <vt:lpstr>py_e_source</vt:lpstr>
      <vt:lpstr>py_elec_eff</vt:lpstr>
      <vt:lpstr>py_elec_prod</vt:lpstr>
      <vt:lpstr>py_ex_t</vt:lpstr>
      <vt:lpstr>py_g_heat_loss</vt:lpstr>
      <vt:lpstr>py_gas_heat_loss</vt:lpstr>
      <vt:lpstr>py_h_eff</vt:lpstr>
      <vt:lpstr>py_h_fuel_required</vt:lpstr>
      <vt:lpstr>py_h_required</vt:lpstr>
      <vt:lpstr>py_h2o_heat_loss</vt:lpstr>
      <vt:lpstr>py_heat_loss</vt:lpstr>
      <vt:lpstr>py_heat_loss_rate</vt:lpstr>
      <vt:lpstr>py_insul</vt:lpstr>
      <vt:lpstr>py_len</vt:lpstr>
      <vt:lpstr>py_life</vt:lpstr>
      <vt:lpstr>py_net_bc</vt:lpstr>
      <vt:lpstr>py_net_fuel</vt:lpstr>
      <vt:lpstr>py_rad</vt:lpstr>
      <vt:lpstr>py_res_t</vt:lpstr>
      <vt:lpstr>py_temp</vt:lpstr>
      <vt:lpstr>py_therm_cond</vt:lpstr>
      <vt:lpstr>py_tot_fuel_required</vt:lpstr>
      <vt:lpstr>py_tot_h2o</vt:lpstr>
      <vt:lpstr>py_vol</vt:lpstr>
      <vt:lpstr>py_wall</vt:lpstr>
      <vt:lpstr>py_wall_heat_loss</vt:lpstr>
      <vt:lpstr>py_wall_temp</vt:lpstr>
      <vt:lpstr>rebound</vt:lpstr>
      <vt:lpstr>SavePath</vt:lpstr>
      <vt:lpstr>scenario</vt:lpstr>
      <vt:lpstr>scenario_data</vt:lpstr>
      <vt:lpstr>scenario_N</vt:lpstr>
      <vt:lpstr>soc</vt:lpstr>
      <vt:lpstr>soil_depth</vt:lpstr>
      <vt:lpstr>time_frame</vt:lpstr>
      <vt:lpstr>Uc</vt:lpstr>
      <vt:lpstr>Uh</vt:lpstr>
      <vt:lpstr>Uo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</dc:creator>
  <cp:lastModifiedBy>Dominic</cp:lastModifiedBy>
  <dcterms:created xsi:type="dcterms:W3CDTF">2014-05-09T01:29:13Z</dcterms:created>
  <dcterms:modified xsi:type="dcterms:W3CDTF">2016-02-22T00:01:02Z</dcterms:modified>
</cp:coreProperties>
</file>